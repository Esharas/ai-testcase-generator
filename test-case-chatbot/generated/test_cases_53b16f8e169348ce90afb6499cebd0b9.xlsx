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0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Cases'!$A$1:$M$26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3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0" fillId="4" borderId="0" pivotButton="0" quotePrefix="0" xfId="0"/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1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14" borderId="4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top"/>
    </xf>
    <xf numFmtId="0" fontId="14" fillId="16" borderId="1" applyAlignment="1" pivotButton="0" quotePrefix="0" xfId="0">
      <alignment horizontal="center" vertical="top"/>
    </xf>
    <xf numFmtId="0" fontId="10" fillId="10" borderId="1" applyAlignment="1" pivotButton="0" quotePrefix="0" xfId="0">
      <alignment vertical="top"/>
    </xf>
    <xf numFmtId="0" fontId="14" fillId="15" borderId="1" applyAlignment="1" pivotButton="0" quotePrefix="0" xfId="0">
      <alignment horizontal="center" vertical="top"/>
    </xf>
    <xf numFmtId="0" fontId="6" fillId="1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164" fontId="15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164" fontId="16" fillId="4" borderId="0" applyAlignment="1" pivotButton="0" quotePrefix="0" xfId="0">
      <alignment vertical="top"/>
    </xf>
    <xf numFmtId="164" fontId="15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8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7" fillId="4" borderId="0" applyAlignment="1" pivotButton="0" quotePrefix="0" xfId="0">
      <alignment vertical="center"/>
    </xf>
    <xf numFmtId="0" fontId="18" fillId="4" borderId="0" applyAlignment="1" pivotButton="0" quotePrefix="0" xfId="0">
      <alignment vertical="top"/>
    </xf>
    <xf numFmtId="0" fontId="5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5" fillId="21" borderId="3" applyAlignment="1" pivotButton="0" quotePrefix="0" xfId="0">
      <alignment horizontal="center" vertical="top" wrapText="1"/>
    </xf>
    <xf numFmtId="0" fontId="5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5" fillId="20" borderId="1" applyAlignment="1" pivotButton="0" quotePrefix="0" xfId="0">
      <alignment horizontal="left" vertical="top"/>
    </xf>
    <xf numFmtId="0" fontId="15" fillId="0" borderId="0" applyAlignment="1" pivotButton="0" quotePrefix="0" xfId="1">
      <alignment vertical="top"/>
    </xf>
    <xf numFmtId="0" fontId="23" fillId="4" borderId="1" applyAlignment="1" pivotButton="0" quotePrefix="0" xfId="0">
      <alignment horizontal="center" vertical="top"/>
    </xf>
    <xf numFmtId="0" fontId="23" fillId="4" borderId="0" applyAlignment="1" pivotButton="0" quotePrefix="0" xfId="0">
      <alignment vertical="top"/>
    </xf>
    <xf numFmtId="0" fontId="5" fillId="19" borderId="1" applyAlignment="1" pivotButton="0" quotePrefix="0" xfId="0">
      <alignment vertical="top"/>
    </xf>
    <xf numFmtId="0" fontId="15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2" fillId="4" borderId="1" applyAlignment="1" pivotButton="0" quotePrefix="0" xfId="0">
      <alignment horizontal="center" vertical="top"/>
    </xf>
    <xf numFmtId="0" fontId="7" fillId="18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/>
    </xf>
    <xf numFmtId="0" fontId="17" fillId="4" borderId="0" applyAlignment="1" pivotButton="0" quotePrefix="0" xfId="0">
      <alignment horizontal="left" vertical="center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7" fillId="18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/>
    </xf>
    <xf numFmtId="0" fontId="5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/>
    </xf>
    <xf numFmtId="0" fontId="7" fillId="8" borderId="9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top"/>
    </xf>
    <xf numFmtId="0" fontId="10" fillId="4" borderId="2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11" fillId="4" borderId="3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6" borderId="8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center" vertical="center" wrapText="1"/>
    </xf>
    <xf numFmtId="0" fontId="11" fillId="11" borderId="8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left"/>
    </xf>
    <xf numFmtId="0" fontId="25" fillId="16" borderId="1" applyAlignment="1" pivotButton="0" quotePrefix="0" xfId="0">
      <alignment horizontal="center"/>
    </xf>
    <xf numFmtId="0" fontId="13" fillId="4" borderId="3" applyAlignment="1" pivotButton="0" quotePrefix="0" xfId="0">
      <alignment horizontal="center" vertical="center" wrapText="1"/>
    </xf>
    <xf numFmtId="0" fontId="13" fillId="4" borderId="8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 wrapText="1"/>
    </xf>
    <xf numFmtId="0" fontId="7" fillId="18" borderId="8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13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1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0" fillId="4" borderId="1" applyAlignment="1" pivotButton="0" quotePrefix="0" xfId="0">
      <alignment horizontal="center" vertical="top"/>
    </xf>
    <xf numFmtId="0" fontId="0" fillId="0" borderId="7" pivotButton="0" quotePrefix="0" xfId="0"/>
  </cellXfs>
  <cellStyles count="2">
    <cellStyle name="Normal" xfId="0" builtinId="0"/>
    <cellStyle name="Hyperlink" xfId="1" builtinId="8"/>
  </cellStyles>
  <dxfs count="17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EA6B14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tabSelected="1" zoomScale="72" zoomScaleNormal="72" workbookViewId="0">
      <selection activeCell="I10" sqref="I10:L10"/>
    </sheetView>
  </sheetViews>
  <sheetFormatPr baseColWidth="8" defaultColWidth="9" defaultRowHeight="15.5"/>
  <cols>
    <col width="14.4140625" customWidth="1" style="51" min="1" max="1"/>
    <col width="6.6640625" customWidth="1" style="4" min="2" max="2"/>
    <col width="21.6640625" customWidth="1" style="4" min="3" max="3"/>
    <col width="7.4140625" customWidth="1" style="4" min="4" max="4"/>
    <col width="5" customWidth="1" style="4" min="5" max="7"/>
    <col width="0.4140625" customWidth="1" style="4" min="8" max="8"/>
    <col width="5.4140625" customWidth="1" style="4" min="9" max="9"/>
    <col width="5" customWidth="1" style="51" min="10" max="10"/>
    <col width="5" customWidth="1" style="50" min="11" max="11"/>
    <col width="5" customWidth="1" style="51" min="12" max="12"/>
    <col width="0.5" customWidth="1" style="51" min="13" max="13"/>
    <col width="5.25" customWidth="1" style="51" min="14" max="14"/>
    <col width="5" customWidth="1" style="51" min="15" max="17"/>
    <col width="0.4140625" customWidth="1" style="51" min="18" max="18"/>
    <col width="5.5" customWidth="1" style="51" min="19" max="19"/>
    <col width="5" customWidth="1" style="51" min="20" max="22"/>
    <col width="0.5" customWidth="1" style="51" min="23" max="23"/>
    <col width="5.25" customWidth="1" style="51" min="24" max="24"/>
    <col width="5" customWidth="1" style="51" min="25" max="27"/>
    <col width="0.33203125" customWidth="1" style="51" min="28" max="28"/>
    <col width="5.5" customWidth="1" style="51" min="29" max="29"/>
    <col width="5" customWidth="1" style="51" min="30" max="30"/>
    <col width="4.75" customWidth="1" style="51" min="31" max="31"/>
    <col width="5" customWidth="1" style="51" min="32" max="32"/>
    <col width="0.58203125" customWidth="1" style="51" min="33" max="33"/>
    <col width="4.5" customWidth="1" style="51" min="34" max="34"/>
    <col width="5.08203125" customWidth="1" style="51" min="35" max="35"/>
    <col width="5.25" customWidth="1" style="51" min="36" max="36"/>
    <col width="4.9140625" customWidth="1" style="51" min="37" max="37"/>
    <col width="9" customWidth="1" style="51" min="38" max="47"/>
    <col width="9" customWidth="1" style="4" min="48" max="16384"/>
  </cols>
  <sheetData>
    <row r="1" ht="35.25" customFormat="1" customHeight="1" s="82">
      <c r="A1" s="82" t="inlineStr">
        <is>
          <t>Test Summary</t>
        </is>
      </c>
    </row>
    <row r="2" customFormat="1" s="51">
      <c r="K2" s="50" t="n"/>
    </row>
    <row r="3" ht="15.75" customFormat="1" customHeight="1" s="51">
      <c r="A3" s="80" t="inlineStr">
        <is>
          <t>Project / CR Name</t>
        </is>
      </c>
      <c r="B3" s="125" t="n"/>
      <c r="C3" s="81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51">
      <c r="A4" s="80" t="inlineStr">
        <is>
          <t>QA Task JIRA Link</t>
        </is>
      </c>
      <c r="B4" s="125" t="n"/>
      <c r="C4" s="81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51">
      <c r="A5" s="80" t="inlineStr">
        <is>
          <t>QA Sign Off for UAT</t>
        </is>
      </c>
      <c r="B5" s="125" t="n"/>
      <c r="C5" s="87" t="inlineStr">
        <is>
          <t>GO!!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51">
      <c r="A6" s="80" t="inlineStr">
        <is>
          <t>Reason</t>
        </is>
      </c>
      <c r="B6" s="125" t="n"/>
      <c r="C6" s="81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51">
      <c r="A7" s="80" t="inlineStr">
        <is>
          <t>Signed Off By</t>
        </is>
      </c>
      <c r="B7" s="125" t="n"/>
      <c r="C7" s="81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51">
      <c r="K8" s="50" t="n"/>
    </row>
    <row r="9" customFormat="1" s="51">
      <c r="K9" s="50" t="n"/>
    </row>
    <row r="10" ht="67" customFormat="1" customHeight="1" s="51">
      <c r="B10" s="128" t="inlineStr">
        <is>
          <t>Planned Total Test Case Count</t>
        </is>
      </c>
      <c r="C10" s="129" t="n"/>
      <c r="D10" s="102" t="inlineStr">
        <is>
          <t>Total No. of TC Executed
(Passed + Failed)</t>
        </is>
      </c>
      <c r="E10" s="126" t="n"/>
      <c r="F10" s="126" t="n"/>
      <c r="G10" s="125" t="n"/>
      <c r="H10" s="20" t="n"/>
      <c r="I10" s="103" t="inlineStr">
        <is>
          <t>Passed</t>
        </is>
      </c>
      <c r="J10" s="126" t="n"/>
      <c r="K10" s="126" t="n"/>
      <c r="L10" s="125" t="n"/>
      <c r="M10" s="21" t="n"/>
      <c r="N10" s="104" t="inlineStr">
        <is>
          <t>Failed</t>
        </is>
      </c>
      <c r="O10" s="126" t="n"/>
      <c r="P10" s="126" t="n"/>
      <c r="Q10" s="125" t="n"/>
      <c r="R10" s="21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21" t="n"/>
      <c r="X10" s="131" t="inlineStr">
        <is>
          <t>Not Applicable</t>
        </is>
      </c>
      <c r="Y10" s="126" t="n"/>
      <c r="Z10" s="126" t="n"/>
      <c r="AA10" s="125" t="n"/>
      <c r="AB10" s="21" t="n"/>
      <c r="AC10" s="132" t="inlineStr">
        <is>
          <t>Not Executed</t>
        </is>
      </c>
      <c r="AD10" s="126" t="n"/>
      <c r="AE10" s="126" t="n"/>
      <c r="AF10" s="125" t="n"/>
    </row>
    <row r="11" customFormat="1" s="51">
      <c r="B11" s="133" t="n"/>
      <c r="C11" s="134" t="n"/>
      <c r="D11" s="22" t="inlineStr">
        <is>
          <t>Tot</t>
        </is>
      </c>
      <c r="E11" s="23" t="inlineStr">
        <is>
          <t>H</t>
        </is>
      </c>
      <c r="F11" s="24" t="inlineStr">
        <is>
          <t>M</t>
        </is>
      </c>
      <c r="G11" s="25" t="inlineStr">
        <is>
          <t>L</t>
        </is>
      </c>
      <c r="H11" s="26" t="n"/>
      <c r="I11" s="27" t="inlineStr">
        <is>
          <t>Tot</t>
        </is>
      </c>
      <c r="J11" s="28" t="inlineStr">
        <is>
          <t>H</t>
        </is>
      </c>
      <c r="K11" s="29" t="inlineStr">
        <is>
          <t>M</t>
        </is>
      </c>
      <c r="L11" s="30" t="inlineStr">
        <is>
          <t>L</t>
        </is>
      </c>
      <c r="M11" s="26" t="n"/>
      <c r="N11" s="27" t="inlineStr">
        <is>
          <t>Tot</t>
        </is>
      </c>
      <c r="O11" s="28" t="inlineStr">
        <is>
          <t>H</t>
        </is>
      </c>
      <c r="P11" s="29" t="inlineStr">
        <is>
          <t>M</t>
        </is>
      </c>
      <c r="Q11" s="30" t="inlineStr">
        <is>
          <t>L</t>
        </is>
      </c>
      <c r="R11" s="26" t="n"/>
      <c r="S11" s="27" t="inlineStr">
        <is>
          <t>Tot</t>
        </is>
      </c>
      <c r="T11" s="28" t="inlineStr">
        <is>
          <t>H</t>
        </is>
      </c>
      <c r="U11" s="29" t="inlineStr">
        <is>
          <t>M</t>
        </is>
      </c>
      <c r="V11" s="30" t="inlineStr">
        <is>
          <t>L</t>
        </is>
      </c>
      <c r="W11" s="26" t="n"/>
      <c r="X11" s="27" t="inlineStr">
        <is>
          <t>Tot</t>
        </is>
      </c>
      <c r="Y11" s="28" t="inlineStr">
        <is>
          <t>H</t>
        </is>
      </c>
      <c r="Z11" s="29" t="inlineStr">
        <is>
          <t>M</t>
        </is>
      </c>
      <c r="AA11" s="30" t="inlineStr">
        <is>
          <t>L</t>
        </is>
      </c>
      <c r="AB11" s="26" t="n"/>
      <c r="AC11" s="27" t="inlineStr">
        <is>
          <t>Tot</t>
        </is>
      </c>
      <c r="AD11" s="28" t="inlineStr">
        <is>
          <t>H</t>
        </is>
      </c>
      <c r="AE11" s="29" t="inlineStr">
        <is>
          <t>M</t>
        </is>
      </c>
      <c r="AF11" s="30" t="inlineStr">
        <is>
          <t>L</t>
        </is>
      </c>
    </row>
    <row r="12" customFormat="1" s="51">
      <c r="B12" s="135">
        <f>I12+N12+S12+X12+AC12</f>
        <v/>
      </c>
      <c r="C12" s="125" t="n"/>
      <c r="D12" s="31">
        <f>SUM(E12:G12)</f>
        <v/>
      </c>
      <c r="E12" s="32">
        <f>J12+O12</f>
        <v/>
      </c>
      <c r="F12" s="32">
        <f>K12+P12</f>
        <v/>
      </c>
      <c r="G12" s="32">
        <f>L12+Q12</f>
        <v/>
      </c>
      <c r="H12" s="33" t="n"/>
      <c r="I12" s="31">
        <f>SUM(J12:L12)</f>
        <v/>
      </c>
      <c r="J12" s="34">
        <f>COUNTIFS('Test Cases'!$H:$H,"Pass",'Test Cases'!$I:$I,"High")+COUNTIFS('Test Cases'!$H:$H,"Fixed",'Test Cases'!$I:$I,"High")</f>
        <v/>
      </c>
      <c r="K12" s="34">
        <f>COUNTIFS('Test Cases'!$H:$H,"Pass",'Test Cases'!$I:$I,"Medium")+COUNTIFS('Test Cases'!$H:$H,"Fixed",'Test Cases'!$I:$I,"Medium")</f>
        <v/>
      </c>
      <c r="L12" s="34">
        <f>COUNTIFS('Test Cases'!$H:$H,"Pass",'Test Cases'!$I:$I,"Low")+COUNTIFS('Test Cases'!$H:$H,"Fixed",'Test Cases'!$I:$I,"Low")</f>
        <v/>
      </c>
      <c r="M12" s="33" t="n"/>
      <c r="N12" s="31">
        <f>SUM(O12:Q12)</f>
        <v/>
      </c>
      <c r="O12" s="34">
        <f>COUNTIFS('Test Cases'!$H:$H,"Fail",'Test Cases'!$I:$I,"High")</f>
        <v/>
      </c>
      <c r="P12" s="34">
        <f>COUNTIFS('Test Cases'!$H:$H,"Fail",'Test Cases'!$I:$I,"Medium")</f>
        <v/>
      </c>
      <c r="Q12" s="34">
        <f>COUNTIFS('Test Cases'!$H:$H,"Fail",'Test Cases'!$I:$I,"Low")</f>
        <v/>
      </c>
      <c r="R12" s="33" t="n"/>
      <c r="S12" s="31">
        <f>SUM(T12:V12)</f>
        <v/>
      </c>
      <c r="T12" s="34">
        <f>COUNTIFS('Test Cases'!$H:$H,"Blocked",'Test Cases'!$I:$I,"High")</f>
        <v/>
      </c>
      <c r="U12" s="34">
        <f>COUNTIFS('Test Cases'!$H:$H,"Blocked",'Test Cases'!$I:$I,"Medium")</f>
        <v/>
      </c>
      <c r="V12" s="34">
        <f>COUNTIFS('Test Cases'!$H:$H,"Blocked",'Test Cases'!$I:$I,"Low")</f>
        <v/>
      </c>
      <c r="W12" s="33" t="n"/>
      <c r="X12" s="31">
        <f>SUM(Y12:AA12)</f>
        <v/>
      </c>
      <c r="Y12" s="34">
        <f>COUNTIFS('Test Cases'!$H:$H,"Not Applicable",'Test Cases'!$I:$I,"High")</f>
        <v/>
      </c>
      <c r="Z12" s="34">
        <f>COUNTIFS('Test Cases'!$H:$H,"Not Applicable",'Test Cases'!$I:$I,"Medium")</f>
        <v/>
      </c>
      <c r="AA12" s="34">
        <f>COUNTIFS('Test Cases'!$H:$H,"Not Applicable",'Test Cases'!$I:$I,"Low")</f>
        <v/>
      </c>
      <c r="AB12" s="33" t="n"/>
      <c r="AC12" s="31">
        <f>SUM(AD12:AF12)</f>
        <v/>
      </c>
      <c r="AD12" s="34">
        <f>COUNTIFS('Test Cases'!$H:$H,"Not Executed",'Test Cases'!$I:$I,"High")</f>
        <v/>
      </c>
      <c r="AE12" s="34">
        <f>COUNTIFS('Test Cases'!$H:$H,"Not Executed",'Test Cases'!$I:$I,"Medium")</f>
        <v/>
      </c>
      <c r="AF12" s="34">
        <f>COUNTIFS('Test Cases'!$H:$H,"Not Executed",'Test Cases'!$I:$I,"Low")</f>
        <v/>
      </c>
    </row>
    <row r="13" customFormat="1" s="51">
      <c r="K13" s="50" t="n"/>
    </row>
    <row r="14" customFormat="1" s="51">
      <c r="K14" s="50" t="n"/>
    </row>
    <row r="15" customFormat="1" s="51">
      <c r="B15" s="54" t="inlineStr">
        <is>
          <t>Overall Test Status</t>
        </is>
      </c>
      <c r="C15" s="19" t="n"/>
      <c r="K15" s="50" t="n"/>
    </row>
    <row r="16" customFormat="1" s="51">
      <c r="B16" s="95" t="inlineStr">
        <is>
          <t>Total No. of Aplicable Test Cases</t>
        </is>
      </c>
      <c r="C16" s="125" t="n"/>
      <c r="D16" s="56">
        <f>B12-X12</f>
        <v/>
      </c>
      <c r="K16" s="50" t="n"/>
    </row>
    <row r="17" customFormat="1" s="51">
      <c r="B17" s="95" t="inlineStr">
        <is>
          <t>Total Executed Test Cases</t>
        </is>
      </c>
      <c r="C17" s="125" t="n"/>
      <c r="D17" s="56">
        <f>D12</f>
        <v/>
      </c>
      <c r="K17" s="50" t="n"/>
    </row>
    <row r="18" customFormat="1" s="51">
      <c r="B18" s="95" t="inlineStr">
        <is>
          <t>Total Not Executed</t>
        </is>
      </c>
      <c r="C18" s="125" t="n"/>
      <c r="D18" s="56">
        <f>AC12+S12</f>
        <v/>
      </c>
      <c r="K18" s="50" t="n"/>
    </row>
    <row r="19" customFormat="1" s="51">
      <c r="B19" s="117" t="inlineStr">
        <is>
          <t>Retested Due to Defect Fixes</t>
        </is>
      </c>
      <c r="C19" s="125" t="n"/>
      <c r="D19" s="118">
        <f>COUNTIFS('Test Cases'!$H:$H,"Fixed")</f>
        <v/>
      </c>
      <c r="K19" s="50" t="n"/>
    </row>
    <row r="20" customFormat="1" s="51">
      <c r="B20" s="95" t="inlineStr">
        <is>
          <t>Test Coverage (%)</t>
        </is>
      </c>
      <c r="C20" s="125" t="n"/>
      <c r="D20" s="57">
        <f>(D17/D16)</f>
        <v/>
      </c>
      <c r="K20" s="50" t="n"/>
    </row>
    <row r="21" customFormat="1" s="51">
      <c r="B21" s="95" t="inlineStr">
        <is>
          <t>Pass Rate (%)</t>
        </is>
      </c>
      <c r="C21" s="125" t="n"/>
      <c r="D21" s="58">
        <f>(I12/D17)</f>
        <v/>
      </c>
      <c r="K21" s="50" t="n"/>
    </row>
    <row r="22" customFormat="1" s="51">
      <c r="K22" s="50" t="n"/>
    </row>
    <row r="23" ht="15.75" customFormat="1" customHeight="1" s="51">
      <c r="K23" s="50" t="n"/>
    </row>
    <row r="24" ht="30" customFormat="1" customHeight="1" s="51">
      <c r="B24" s="90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1" t="inlineStr">
        <is>
          <t>No. of TCs</t>
        </is>
      </c>
      <c r="O24" s="125" t="n"/>
    </row>
    <row r="25" customFormat="1" s="51">
      <c r="B25" s="89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2" t="n"/>
      <c r="O25" s="125" t="n"/>
    </row>
    <row r="26" customFormat="1" s="51">
      <c r="B26" s="89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2" t="n"/>
      <c r="O26" s="125" t="n"/>
    </row>
    <row r="27" ht="16" customFormat="1" customHeight="1" s="51" thickBot="1">
      <c r="B27" s="50" t="n"/>
      <c r="K27" s="50" t="n"/>
      <c r="N27" s="88">
        <f>SUM(N25:N26)</f>
        <v/>
      </c>
      <c r="O27" s="136" t="n"/>
    </row>
    <row r="28" ht="16" customFormat="1" customHeight="1" s="51" thickTop="1">
      <c r="B28" s="50" t="n"/>
      <c r="K28" s="50" t="n"/>
    </row>
    <row r="29" customFormat="1" s="51">
      <c r="B29" s="50" t="n"/>
      <c r="K29" s="50" t="n"/>
    </row>
    <row r="30" ht="30" customFormat="1" customHeight="1" s="51">
      <c r="B30" s="93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4" t="inlineStr">
        <is>
          <t>No. of TCs</t>
        </is>
      </c>
      <c r="O30" s="125" t="n"/>
    </row>
    <row r="31" customFormat="1" s="51">
      <c r="B31" s="89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2" t="n"/>
      <c r="O31" s="125" t="n"/>
    </row>
    <row r="32" customFormat="1" s="51">
      <c r="B32" s="89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2" t="n"/>
      <c r="O32" s="125" t="n"/>
    </row>
    <row r="33" ht="16" customFormat="1" customHeight="1" s="51" thickBot="1">
      <c r="B33" s="50" t="n"/>
      <c r="K33" s="50" t="n"/>
      <c r="N33" s="88">
        <f>SUM(N31:N32)</f>
        <v/>
      </c>
      <c r="O33" s="136" t="n"/>
    </row>
    <row r="34" ht="16" customFormat="1" customHeight="1" s="51" thickTop="1">
      <c r="K34" s="50" t="n"/>
    </row>
    <row r="35" customFormat="1" s="51">
      <c r="K35" s="50" t="n"/>
    </row>
    <row r="36" customFormat="1" s="51">
      <c r="K36" s="50" t="n"/>
    </row>
    <row r="37" customFormat="1" s="51">
      <c r="K37" s="50" t="n"/>
    </row>
    <row r="38" customFormat="1" s="51">
      <c r="K38" s="50" t="n"/>
    </row>
    <row r="39" customFormat="1" s="51">
      <c r="K39" s="50" t="n"/>
    </row>
    <row r="40" customFormat="1" s="51">
      <c r="K40" s="50" t="n"/>
    </row>
    <row r="41" customFormat="1" s="51">
      <c r="K41" s="50" t="n"/>
    </row>
    <row r="42" customFormat="1" s="51">
      <c r="K42" s="50" t="n"/>
    </row>
    <row r="43" customFormat="1" s="51">
      <c r="K43" s="50" t="n"/>
    </row>
    <row r="44" customFormat="1" s="51">
      <c r="K44" s="50" t="n"/>
    </row>
    <row r="45" customFormat="1" s="51">
      <c r="K45" s="50" t="n"/>
    </row>
    <row r="46" customFormat="1" s="51">
      <c r="K46" s="50" t="n"/>
    </row>
    <row r="47" customFormat="1" s="51">
      <c r="K47" s="50" t="n"/>
    </row>
    <row r="48" customFormat="1" s="51">
      <c r="K48" s="50" t="n"/>
    </row>
    <row r="49" customFormat="1" s="51">
      <c r="K49" s="50" t="n"/>
    </row>
    <row r="50" customFormat="1" s="51">
      <c r="K50" s="50" t="n"/>
    </row>
    <row r="51" customFormat="1" s="51">
      <c r="K51" s="50" t="n"/>
    </row>
    <row r="52" customFormat="1" s="51">
      <c r="K52" s="50" t="n"/>
    </row>
    <row r="53" customFormat="1" s="51">
      <c r="K53" s="50" t="n"/>
    </row>
    <row r="54" customFormat="1" s="51">
      <c r="K54" s="50" t="n"/>
    </row>
    <row r="55" customFormat="1" s="51">
      <c r="K55" s="50" t="n"/>
    </row>
    <row r="56" customFormat="1" s="51">
      <c r="K56" s="50" t="n"/>
    </row>
    <row r="57" customFormat="1" s="51">
      <c r="K57" s="50" t="n"/>
    </row>
    <row r="58" customFormat="1" s="51">
      <c r="K58" s="50" t="n"/>
    </row>
    <row r="59" customFormat="1" s="51">
      <c r="K59" s="50" t="n"/>
    </row>
    <row r="60" customFormat="1" s="51">
      <c r="K60" s="50" t="n"/>
    </row>
    <row r="61" customFormat="1" s="51">
      <c r="K61" s="50" t="n"/>
    </row>
    <row r="62" customFormat="1" s="51">
      <c r="K62" s="50" t="n"/>
    </row>
    <row r="63" customFormat="1" s="51">
      <c r="K63" s="50" t="n"/>
    </row>
    <row r="64" customFormat="1" s="51">
      <c r="K64" s="50" t="n"/>
    </row>
    <row r="65" customFormat="1" s="51">
      <c r="K65" s="50" t="n"/>
    </row>
    <row r="66" customFormat="1" s="51">
      <c r="K66" s="50" t="n"/>
    </row>
    <row r="67" customFormat="1" s="51">
      <c r="K67" s="50" t="n"/>
    </row>
    <row r="68" customFormat="1" s="51">
      <c r="K68" s="50" t="n"/>
    </row>
    <row r="69" customFormat="1" s="51">
      <c r="K69" s="50" t="n"/>
    </row>
    <row r="70" customFormat="1" s="51">
      <c r="K70" s="50" t="n"/>
    </row>
    <row r="71" customFormat="1" s="51">
      <c r="K71" s="50" t="n"/>
    </row>
    <row r="72" customFormat="1" s="51">
      <c r="K72" s="50" t="n"/>
    </row>
    <row r="73" customFormat="1" s="51">
      <c r="K73" s="50" t="n"/>
    </row>
    <row r="74" customFormat="1" s="51">
      <c r="K74" s="50" t="n"/>
    </row>
    <row r="75" customFormat="1" s="51">
      <c r="K75" s="50" t="n"/>
    </row>
    <row r="76" customFormat="1" s="51">
      <c r="K76" s="50" t="n"/>
    </row>
    <row r="77" customFormat="1" s="51">
      <c r="K77" s="50" t="n"/>
    </row>
    <row r="78" customFormat="1" s="51">
      <c r="K78" s="50" t="n"/>
    </row>
    <row r="79" customFormat="1" s="51">
      <c r="K79" s="50" t="n"/>
    </row>
    <row r="80" customFormat="1" s="51">
      <c r="K80" s="50" t="n"/>
    </row>
    <row r="81" customFormat="1" s="51">
      <c r="K81" s="50" t="n"/>
    </row>
    <row r="82" customFormat="1" s="51">
      <c r="K82" s="50" t="n"/>
    </row>
    <row r="83" customFormat="1" s="51">
      <c r="K83" s="50" t="n"/>
    </row>
    <row r="84" customFormat="1" s="51">
      <c r="K84" s="50" t="n"/>
    </row>
    <row r="85" customFormat="1" s="51">
      <c r="K85" s="50" t="n"/>
    </row>
    <row r="86" customFormat="1" s="51">
      <c r="K86" s="50" t="n"/>
    </row>
    <row r="87" customFormat="1" s="51">
      <c r="K87" s="50" t="n"/>
    </row>
    <row r="88" customFormat="1" s="51">
      <c r="K88" s="50" t="n"/>
    </row>
    <row r="89" customFormat="1" s="51">
      <c r="K89" s="50" t="n"/>
    </row>
    <row r="90" customFormat="1" s="51">
      <c r="K90" s="50" t="n"/>
    </row>
    <row r="91" customFormat="1" s="51">
      <c r="K91" s="50" t="n"/>
    </row>
    <row r="92" customFormat="1" s="51">
      <c r="K92" s="50" t="n"/>
    </row>
    <row r="93" customFormat="1" s="51">
      <c r="K93" s="50" t="n"/>
    </row>
    <row r="94" customFormat="1" s="51">
      <c r="K94" s="50" t="n"/>
    </row>
    <row r="95" customFormat="1" s="51">
      <c r="K95" s="50" t="n"/>
    </row>
    <row r="96" customFormat="1" s="51">
      <c r="K96" s="50" t="n"/>
    </row>
    <row r="97" customFormat="1" s="51">
      <c r="K97" s="50" t="n"/>
    </row>
    <row r="98" customFormat="1" s="51">
      <c r="K98" s="50" t="n"/>
    </row>
    <row r="99" customFormat="1" s="51">
      <c r="K99" s="50" t="n"/>
    </row>
    <row r="100" customFormat="1" s="51">
      <c r="K100" s="50" t="n"/>
    </row>
    <row r="101" customFormat="1" s="51">
      <c r="K101" s="50" t="n"/>
    </row>
    <row r="102" customFormat="1" s="51">
      <c r="K102" s="50" t="n"/>
    </row>
    <row r="103" customFormat="1" s="51">
      <c r="K103" s="50" t="n"/>
    </row>
    <row r="104" customFormat="1" s="51">
      <c r="K104" s="50" t="n"/>
    </row>
    <row r="105" customFormat="1" s="51">
      <c r="K105" s="50" t="n"/>
    </row>
    <row r="106" customFormat="1" s="51">
      <c r="K106" s="50" t="n"/>
    </row>
    <row r="107" customFormat="1" s="51">
      <c r="K107" s="50" t="n"/>
    </row>
    <row r="108" customFormat="1" s="51">
      <c r="K108" s="50" t="n"/>
    </row>
    <row r="109" customFormat="1" s="51">
      <c r="K109" s="50" t="n"/>
    </row>
    <row r="110" customFormat="1" s="51">
      <c r="K110" s="50" t="n"/>
    </row>
    <row r="111" customFormat="1" s="51">
      <c r="K111" s="50" t="n"/>
    </row>
    <row r="112" customFormat="1" s="51">
      <c r="K112" s="50" t="n"/>
    </row>
    <row r="113" customFormat="1" s="51">
      <c r="K113" s="50" t="n"/>
    </row>
    <row r="114" customFormat="1" s="51">
      <c r="K114" s="50" t="n"/>
    </row>
    <row r="115" customFormat="1" s="51">
      <c r="K115" s="50" t="n"/>
    </row>
    <row r="116" customFormat="1" s="51">
      <c r="K116" s="50" t="n"/>
    </row>
    <row r="117" customFormat="1" s="51">
      <c r="K117" s="50" t="n"/>
    </row>
    <row r="118" customFormat="1" s="51">
      <c r="K118" s="50" t="n"/>
    </row>
    <row r="119" customFormat="1" s="51">
      <c r="K119" s="50" t="n"/>
    </row>
    <row r="120" customFormat="1" s="51">
      <c r="K120" s="50" t="n"/>
    </row>
    <row r="121" customFormat="1" s="51">
      <c r="K121" s="50" t="n"/>
    </row>
    <row r="122" customFormat="1" s="51">
      <c r="K122" s="50" t="n"/>
    </row>
    <row r="123" customFormat="1" s="51">
      <c r="K123" s="50" t="n"/>
    </row>
    <row r="124" customFormat="1" s="51">
      <c r="K124" s="50" t="n"/>
    </row>
    <row r="125" customFormat="1" s="51">
      <c r="K125" s="50" t="n"/>
    </row>
    <row r="126" customFormat="1" s="51">
      <c r="K126" s="50" t="n"/>
    </row>
    <row r="127" customFormat="1" s="51">
      <c r="K127" s="50" t="n"/>
    </row>
    <row r="128" customFormat="1" s="51">
      <c r="K128" s="50" t="n"/>
    </row>
    <row r="129" customFormat="1" s="51">
      <c r="K129" s="50" t="n"/>
    </row>
    <row r="130" customFormat="1" s="51">
      <c r="K130" s="50" t="n"/>
    </row>
    <row r="131" customFormat="1" s="51">
      <c r="K131" s="50" t="n"/>
    </row>
    <row r="132" customFormat="1" s="51">
      <c r="K132" s="50" t="n"/>
    </row>
    <row r="133" customFormat="1" s="51">
      <c r="K133" s="50" t="n"/>
    </row>
    <row r="134" customFormat="1" s="51">
      <c r="K134" s="50" t="n"/>
    </row>
    <row r="135" customFormat="1" s="51">
      <c r="K135" s="50" t="n"/>
    </row>
    <row r="136" customFormat="1" s="51">
      <c r="K136" s="50" t="n"/>
    </row>
    <row r="137" customFormat="1" s="51">
      <c r="K137" s="50" t="n"/>
    </row>
    <row r="138" customFormat="1" s="51">
      <c r="K138" s="50" t="n"/>
    </row>
    <row r="139" customFormat="1" s="51">
      <c r="K139" s="50" t="n"/>
    </row>
    <row r="140" customFormat="1" s="51">
      <c r="K140" s="50" t="n"/>
    </row>
    <row r="141" customFormat="1" s="51">
      <c r="K141" s="50" t="n"/>
    </row>
    <row r="142" customFormat="1" s="51">
      <c r="K142" s="50" t="n"/>
    </row>
    <row r="143" customFormat="1" s="51">
      <c r="K143" s="50" t="n"/>
    </row>
    <row r="144" customFormat="1" s="51">
      <c r="K144" s="50" t="n"/>
    </row>
    <row r="145" customFormat="1" s="51">
      <c r="K145" s="50" t="n"/>
    </row>
    <row r="146" customFormat="1" s="51">
      <c r="K146" s="50" t="n"/>
    </row>
    <row r="147" customFormat="1" s="51">
      <c r="K147" s="50" t="n"/>
    </row>
    <row r="148" customFormat="1" s="51">
      <c r="K148" s="50" t="n"/>
    </row>
    <row r="149" customFormat="1" s="51">
      <c r="K149" s="50" t="n"/>
    </row>
    <row r="150" customFormat="1" s="51">
      <c r="K150" s="50" t="n"/>
    </row>
    <row r="151" customFormat="1" s="51">
      <c r="K151" s="50" t="n"/>
    </row>
    <row r="152" customFormat="1" s="51">
      <c r="K152" s="50" t="n"/>
    </row>
    <row r="153" customFormat="1" s="51">
      <c r="K153" s="50" t="n"/>
    </row>
    <row r="154" customFormat="1" s="51">
      <c r="K154" s="50" t="n"/>
    </row>
    <row r="155" customFormat="1" s="51">
      <c r="K155" s="50" t="n"/>
    </row>
    <row r="156" customFormat="1" s="51">
      <c r="K156" s="50" t="n"/>
    </row>
    <row r="157" customFormat="1" s="51">
      <c r="K157" s="50" t="n"/>
    </row>
    <row r="158" customFormat="1" s="51">
      <c r="K158" s="50" t="n"/>
    </row>
    <row r="159" customFormat="1" s="51">
      <c r="K159" s="50" t="n"/>
    </row>
    <row r="160" customFormat="1" s="51">
      <c r="K160" s="50" t="n"/>
    </row>
    <row r="161" customFormat="1" s="51">
      <c r="K161" s="50" t="n"/>
    </row>
    <row r="162" customFormat="1" s="51">
      <c r="K162" s="50" t="n"/>
    </row>
    <row r="163" customFormat="1" s="51">
      <c r="K163" s="50" t="n"/>
    </row>
    <row r="164" customFormat="1" s="51">
      <c r="K164" s="50" t="n"/>
    </row>
    <row r="165" customFormat="1" s="51">
      <c r="K165" s="50" t="n"/>
    </row>
    <row r="166" customFormat="1" s="51">
      <c r="K166" s="50" t="n"/>
    </row>
    <row r="167" customFormat="1" s="51">
      <c r="K167" s="50" t="n"/>
    </row>
    <row r="168" customFormat="1" s="51">
      <c r="K168" s="50" t="n"/>
    </row>
    <row r="169" customFormat="1" s="51">
      <c r="K169" s="50" t="n"/>
    </row>
    <row r="170" customFormat="1" s="51">
      <c r="K170" s="50" t="n"/>
    </row>
    <row r="171" customFormat="1" s="51">
      <c r="K171" s="50" t="n"/>
    </row>
    <row r="172" customFormat="1" s="51">
      <c r="K172" s="50" t="n"/>
    </row>
    <row r="173" customFormat="1" s="51">
      <c r="K173" s="50" t="n"/>
    </row>
    <row r="174" customFormat="1" s="51">
      <c r="K174" s="50" t="n"/>
    </row>
    <row r="175" customFormat="1" s="51">
      <c r="K175" s="50" t="n"/>
    </row>
    <row r="176" customFormat="1" s="51">
      <c r="K176" s="50" t="n"/>
    </row>
    <row r="177" customFormat="1" s="51">
      <c r="K177" s="50" t="n"/>
    </row>
    <row r="178" customFormat="1" s="51">
      <c r="K178" s="50" t="n"/>
    </row>
    <row r="179" customFormat="1" s="51">
      <c r="K179" s="50" t="n"/>
    </row>
    <row r="180" customFormat="1" s="51">
      <c r="K180" s="50" t="n"/>
    </row>
    <row r="181" customFormat="1" s="51">
      <c r="K181" s="50" t="n"/>
    </row>
    <row r="182" customFormat="1" s="51">
      <c r="K182" s="50" t="n"/>
    </row>
    <row r="183" customFormat="1" s="51">
      <c r="K183" s="50" t="n"/>
    </row>
    <row r="184" customFormat="1" s="51">
      <c r="K184" s="50" t="n"/>
    </row>
    <row r="185" customFormat="1" s="51">
      <c r="K185" s="50" t="n"/>
    </row>
    <row r="186" customFormat="1" s="51">
      <c r="K186" s="50" t="n"/>
    </row>
    <row r="187" customFormat="1" s="51">
      <c r="K187" s="50" t="n"/>
    </row>
    <row r="188" customFormat="1" s="51">
      <c r="K188" s="50" t="n"/>
    </row>
    <row r="189" customFormat="1" s="51">
      <c r="K189" s="50" t="n"/>
    </row>
    <row r="190" customFormat="1" s="51">
      <c r="K190" s="50" t="n"/>
    </row>
    <row r="191" customFormat="1" s="51">
      <c r="K191" s="50" t="n"/>
    </row>
    <row r="192" customFormat="1" s="51">
      <c r="K192" s="50" t="n"/>
    </row>
    <row r="193" customFormat="1" s="51">
      <c r="K193" s="50" t="n"/>
    </row>
    <row r="194" customFormat="1" s="51">
      <c r="K194" s="50" t="n"/>
    </row>
    <row r="195" customFormat="1" s="51">
      <c r="K195" s="50" t="n"/>
    </row>
    <row r="196" customFormat="1" s="51">
      <c r="K196" s="50" t="n"/>
    </row>
    <row r="197" customFormat="1" s="51">
      <c r="K197" s="50" t="n"/>
    </row>
    <row r="198" customFormat="1" s="51">
      <c r="K198" s="50" t="n"/>
    </row>
    <row r="199" customFormat="1" s="51">
      <c r="K199" s="50" t="n"/>
    </row>
    <row r="200" customFormat="1" s="51">
      <c r="K200" s="50" t="n"/>
    </row>
    <row r="201" customFormat="1" s="51">
      <c r="K201" s="50" t="n"/>
    </row>
    <row r="202" customFormat="1" s="51">
      <c r="K202" s="50" t="n"/>
    </row>
    <row r="203" customFormat="1" s="51">
      <c r="K203" s="50" t="n"/>
    </row>
    <row r="204" customFormat="1" s="51">
      <c r="K204" s="50" t="n"/>
    </row>
    <row r="205" customFormat="1" s="51">
      <c r="K205" s="50" t="n"/>
    </row>
    <row r="206" customFormat="1" s="51">
      <c r="K206" s="50" t="n"/>
    </row>
    <row r="207" customFormat="1" s="51">
      <c r="K207" s="50" t="n"/>
    </row>
    <row r="208" customFormat="1" s="51">
      <c r="K208" s="50" t="n"/>
    </row>
    <row r="209" customFormat="1" s="51">
      <c r="K209" s="50" t="n"/>
    </row>
    <row r="210" customFormat="1" s="51">
      <c r="K210" s="50" t="n"/>
    </row>
    <row r="211" customFormat="1" s="51">
      <c r="K211" s="50" t="n"/>
    </row>
    <row r="212" customFormat="1" s="51">
      <c r="K212" s="50" t="n"/>
    </row>
    <row r="213" customFormat="1" s="51">
      <c r="K213" s="50" t="n"/>
    </row>
    <row r="214" customFormat="1" s="51">
      <c r="K214" s="50" t="n"/>
    </row>
    <row r="215" customFormat="1" s="51">
      <c r="K215" s="50" t="n"/>
    </row>
    <row r="216" customFormat="1" s="51">
      <c r="K216" s="50" t="n"/>
    </row>
    <row r="217" customFormat="1" s="51">
      <c r="K217" s="50" t="n"/>
    </row>
    <row r="218" customFormat="1" s="51">
      <c r="K218" s="50" t="n"/>
    </row>
    <row r="219" customFormat="1" s="51">
      <c r="K219" s="50" t="n"/>
    </row>
    <row r="220" customFormat="1" s="51">
      <c r="K220" s="50" t="n"/>
    </row>
    <row r="221" customFormat="1" s="51">
      <c r="K221" s="50" t="n"/>
    </row>
    <row r="222" customFormat="1" s="51">
      <c r="K222" s="50" t="n"/>
    </row>
    <row r="223" customFormat="1" s="51">
      <c r="K223" s="50" t="n"/>
    </row>
    <row r="224" customFormat="1" s="51">
      <c r="K224" s="50" t="n"/>
    </row>
    <row r="225" customFormat="1" s="51">
      <c r="K225" s="50" t="n"/>
    </row>
    <row r="226" customFormat="1" s="51">
      <c r="K226" s="50" t="n"/>
    </row>
    <row r="227" customFormat="1" s="51">
      <c r="K227" s="50" t="n"/>
    </row>
    <row r="228" customFormat="1" s="51">
      <c r="K228" s="50" t="n"/>
    </row>
    <row r="229" customFormat="1" s="51">
      <c r="K229" s="50" t="n"/>
    </row>
    <row r="230" customFormat="1" s="51">
      <c r="K230" s="50" t="n"/>
    </row>
    <row r="231" customFormat="1" s="51">
      <c r="K231" s="50" t="n"/>
    </row>
    <row r="232" customFormat="1" s="51">
      <c r="K232" s="50" t="n"/>
    </row>
    <row r="233" customFormat="1" s="51">
      <c r="K233" s="50" t="n"/>
    </row>
    <row r="234" customFormat="1" s="51">
      <c r="K234" s="50" t="n"/>
    </row>
    <row r="235" customFormat="1" s="51">
      <c r="K235" s="50" t="n"/>
    </row>
    <row r="236" customFormat="1" s="51">
      <c r="K236" s="50" t="n"/>
    </row>
    <row r="237" customFormat="1" s="51">
      <c r="K237" s="50" t="n"/>
    </row>
    <row r="238" customFormat="1" s="51">
      <c r="K238" s="50" t="n"/>
    </row>
    <row r="239" customFormat="1" s="51">
      <c r="K239" s="50" t="n"/>
    </row>
    <row r="240" customFormat="1" s="51">
      <c r="K240" s="50" t="n"/>
    </row>
    <row r="241" customFormat="1" s="51">
      <c r="K241" s="50" t="n"/>
    </row>
    <row r="242" customFormat="1" s="51">
      <c r="K242" s="50" t="n"/>
    </row>
    <row r="243" customFormat="1" s="51">
      <c r="K243" s="50" t="n"/>
    </row>
    <row r="244" customFormat="1" s="51">
      <c r="K244" s="50" t="n"/>
    </row>
    <row r="245" customFormat="1" s="51">
      <c r="K245" s="50" t="n"/>
    </row>
    <row r="246" customFormat="1" s="51">
      <c r="K246" s="50" t="n"/>
    </row>
    <row r="247" customFormat="1" s="51">
      <c r="K247" s="50" t="n"/>
    </row>
    <row r="248" customFormat="1" s="51">
      <c r="K248" s="50" t="n"/>
    </row>
    <row r="249" customFormat="1" s="51">
      <c r="K249" s="50" t="n"/>
    </row>
    <row r="250" customFormat="1" s="51">
      <c r="K250" s="50" t="n"/>
    </row>
    <row r="251" customFormat="1" s="51">
      <c r="K251" s="50" t="n"/>
    </row>
    <row r="252" customFormat="1" s="51">
      <c r="K252" s="50" t="n"/>
    </row>
    <row r="253" customFormat="1" s="51">
      <c r="K253" s="50" t="n"/>
    </row>
    <row r="254" customFormat="1" s="51">
      <c r="K254" s="50" t="n"/>
    </row>
    <row r="255" customFormat="1" s="51">
      <c r="K255" s="50" t="n"/>
    </row>
    <row r="256" customFormat="1" s="51">
      <c r="K256" s="50" t="n"/>
    </row>
    <row r="257" customFormat="1" s="51">
      <c r="K257" s="50" t="n"/>
    </row>
    <row r="258" customFormat="1" s="51">
      <c r="K258" s="50" t="n"/>
    </row>
    <row r="259" customFormat="1" s="51">
      <c r="K259" s="50" t="n"/>
    </row>
    <row r="260" customFormat="1" s="51">
      <c r="K260" s="50" t="n"/>
    </row>
    <row r="261" customFormat="1" s="51">
      <c r="K261" s="50" t="n"/>
    </row>
    <row r="262" customFormat="1" s="51">
      <c r="K262" s="50" t="n"/>
    </row>
    <row r="263" customFormat="1" s="51">
      <c r="K263" s="50" t="n"/>
    </row>
    <row r="264" customFormat="1" s="51">
      <c r="K264" s="50" t="n"/>
    </row>
    <row r="265" customFormat="1" s="51">
      <c r="K265" s="50" t="n"/>
    </row>
    <row r="266" customFormat="1" s="51">
      <c r="K266" s="50" t="n"/>
    </row>
    <row r="267" customFormat="1" s="51">
      <c r="K267" s="50" t="n"/>
    </row>
    <row r="268" customFormat="1" s="51">
      <c r="K268" s="50" t="n"/>
    </row>
    <row r="269" customFormat="1" s="51">
      <c r="K269" s="50" t="n"/>
    </row>
    <row r="270" customFormat="1" s="51">
      <c r="K270" s="50" t="n"/>
    </row>
    <row r="271" customFormat="1" s="51">
      <c r="K271" s="50" t="n"/>
    </row>
    <row r="272" customFormat="1" s="51">
      <c r="K272" s="50" t="n"/>
    </row>
    <row r="273" customFormat="1" s="51">
      <c r="K273" s="50" t="n"/>
    </row>
    <row r="274" customFormat="1" s="51">
      <c r="K274" s="50" t="n"/>
    </row>
    <row r="275" customFormat="1" s="51">
      <c r="K275" s="50" t="n"/>
    </row>
    <row r="276" customFormat="1" s="51">
      <c r="K276" s="50" t="n"/>
    </row>
    <row r="277" customFormat="1" s="51">
      <c r="K277" s="50" t="n"/>
    </row>
    <row r="278" customFormat="1" s="51">
      <c r="K278" s="50" t="n"/>
    </row>
    <row r="279" customFormat="1" s="51">
      <c r="K279" s="50" t="n"/>
    </row>
    <row r="280" customFormat="1" s="51">
      <c r="K280" s="50" t="n"/>
    </row>
    <row r="281" customFormat="1" s="51">
      <c r="K281" s="50" t="n"/>
    </row>
    <row r="282" customFormat="1" s="51">
      <c r="K282" s="50" t="n"/>
    </row>
    <row r="283" customFormat="1" s="51">
      <c r="K283" s="50" t="n"/>
    </row>
    <row r="284" customFormat="1" s="51">
      <c r="K284" s="50" t="n"/>
    </row>
    <row r="285" customFormat="1" s="51">
      <c r="K285" s="50" t="n"/>
    </row>
    <row r="286" customFormat="1" s="51">
      <c r="K286" s="50" t="n"/>
    </row>
    <row r="287" customFormat="1" s="51">
      <c r="K287" s="50" t="n"/>
    </row>
    <row r="288" customFormat="1" s="51">
      <c r="K288" s="50" t="n"/>
    </row>
    <row r="289" customFormat="1" s="51">
      <c r="K289" s="50" t="n"/>
    </row>
    <row r="290" customFormat="1" s="51">
      <c r="K290" s="50" t="n"/>
    </row>
    <row r="291" customFormat="1" s="51">
      <c r="K291" s="50" t="n"/>
    </row>
    <row r="292" customFormat="1" s="51">
      <c r="K292" s="50" t="n"/>
    </row>
    <row r="293" customFormat="1" s="51">
      <c r="K293" s="50" t="n"/>
    </row>
    <row r="294" customFormat="1" s="51">
      <c r="K294" s="50" t="n"/>
    </row>
    <row r="295" customFormat="1" s="51">
      <c r="K295" s="50" t="n"/>
    </row>
    <row r="296" customFormat="1" s="51">
      <c r="K296" s="50" t="n"/>
    </row>
    <row r="297" customFormat="1" s="51">
      <c r="K297" s="50" t="n"/>
    </row>
    <row r="298" customFormat="1" s="51">
      <c r="K298" s="50" t="n"/>
    </row>
    <row r="299" customFormat="1" s="51">
      <c r="K299" s="50" t="n"/>
    </row>
    <row r="300" customFormat="1" s="51">
      <c r="K300" s="50" t="n"/>
    </row>
    <row r="301" customFormat="1" s="51">
      <c r="K301" s="50" t="n"/>
    </row>
    <row r="302" customFormat="1" s="51">
      <c r="K302" s="50" t="n"/>
    </row>
    <row r="303" customFormat="1" s="51">
      <c r="K303" s="50" t="n"/>
    </row>
    <row r="304" customFormat="1" s="51">
      <c r="K304" s="50" t="n"/>
    </row>
    <row r="305" customFormat="1" s="51">
      <c r="K305" s="50" t="n"/>
    </row>
    <row r="306" customFormat="1" s="51">
      <c r="K306" s="50" t="n"/>
    </row>
    <row r="307" customFormat="1" s="51">
      <c r="K307" s="50" t="n"/>
    </row>
    <row r="308" customFormat="1" s="51">
      <c r="K308" s="50" t="n"/>
    </row>
    <row r="309" customFormat="1" s="51">
      <c r="K309" s="50" t="n"/>
    </row>
    <row r="310" customFormat="1" s="51">
      <c r="K310" s="50" t="n"/>
    </row>
    <row r="311" customFormat="1" s="51">
      <c r="K311" s="50" t="n"/>
    </row>
    <row r="312" customFormat="1" s="51">
      <c r="K312" s="50" t="n"/>
    </row>
    <row r="313" customFormat="1" s="51">
      <c r="K313" s="50" t="n"/>
    </row>
    <row r="314" customFormat="1" s="51">
      <c r="K314" s="50" t="n"/>
    </row>
    <row r="315" customFormat="1" s="51">
      <c r="K315" s="50" t="n"/>
    </row>
    <row r="316" customFormat="1" s="51">
      <c r="K316" s="50" t="n"/>
    </row>
    <row r="317" customFormat="1" s="51">
      <c r="K317" s="50" t="n"/>
    </row>
    <row r="318" customFormat="1" s="51">
      <c r="K318" s="50" t="n"/>
    </row>
    <row r="319" customFormat="1" s="51">
      <c r="K319" s="50" t="n"/>
    </row>
    <row r="320" customFormat="1" s="51">
      <c r="K320" s="50" t="n"/>
    </row>
    <row r="321" customFormat="1" s="51">
      <c r="K321" s="50" t="n"/>
    </row>
    <row r="322" customFormat="1" s="51">
      <c r="K322" s="50" t="n"/>
    </row>
    <row r="323" customFormat="1" s="51">
      <c r="K323" s="50" t="n"/>
    </row>
    <row r="324" customFormat="1" s="51">
      <c r="K324" s="50" t="n"/>
    </row>
    <row r="325" customFormat="1" s="51">
      <c r="K325" s="50" t="n"/>
    </row>
    <row r="326" customFormat="1" s="51">
      <c r="K326" s="50" t="n"/>
    </row>
    <row r="327" customFormat="1" s="51">
      <c r="K327" s="50" t="n"/>
    </row>
    <row r="328" customFormat="1" s="51">
      <c r="K328" s="50" t="n"/>
    </row>
    <row r="329" customFormat="1" s="51">
      <c r="K329" s="50" t="n"/>
    </row>
    <row r="330" customFormat="1" s="51">
      <c r="K330" s="50" t="n"/>
    </row>
    <row r="331" customFormat="1" s="51">
      <c r="K331" s="50" t="n"/>
    </row>
    <row r="332" customFormat="1" s="51">
      <c r="K332" s="50" t="n"/>
    </row>
    <row r="333" customFormat="1" s="51">
      <c r="K333" s="50" t="n"/>
    </row>
    <row r="334" customFormat="1" s="51">
      <c r="K334" s="50" t="n"/>
    </row>
    <row r="335" customFormat="1" s="51">
      <c r="K335" s="50" t="n"/>
    </row>
    <row r="336" customFormat="1" s="51">
      <c r="K336" s="50" t="n"/>
    </row>
    <row r="337" customFormat="1" s="51">
      <c r="K337" s="50" t="n"/>
    </row>
    <row r="338" customFormat="1" s="51">
      <c r="K338" s="50" t="n"/>
    </row>
    <row r="339" customFormat="1" s="51">
      <c r="K339" s="50" t="n"/>
    </row>
    <row r="340" customFormat="1" s="51">
      <c r="K340" s="50" t="n"/>
    </row>
    <row r="341" customFormat="1" s="51">
      <c r="K341" s="50" t="n"/>
    </row>
    <row r="342" customFormat="1" s="51">
      <c r="K342" s="50" t="n"/>
    </row>
    <row r="343" customFormat="1" s="51">
      <c r="K343" s="50" t="n"/>
    </row>
    <row r="344" customFormat="1" s="51">
      <c r="K344" s="50" t="n"/>
    </row>
    <row r="345" customFormat="1" s="51">
      <c r="K345" s="50" t="n"/>
    </row>
    <row r="346" customFormat="1" s="51">
      <c r="K346" s="50" t="n"/>
    </row>
    <row r="347" customFormat="1" s="51">
      <c r="K347" s="50" t="n"/>
    </row>
    <row r="348" customFormat="1" s="51">
      <c r="K348" s="50" t="n"/>
    </row>
    <row r="349" customFormat="1" s="51">
      <c r="K349" s="50" t="n"/>
    </row>
    <row r="350" customFormat="1" s="51">
      <c r="K350" s="50" t="n"/>
    </row>
    <row r="351" customFormat="1" s="51">
      <c r="K351" s="50" t="n"/>
    </row>
    <row r="352" customFormat="1" s="51">
      <c r="K352" s="50" t="n"/>
    </row>
    <row r="353" customFormat="1" s="51">
      <c r="K353" s="50" t="n"/>
    </row>
    <row r="354" customFormat="1" s="51">
      <c r="K354" s="50" t="n"/>
    </row>
    <row r="355" customFormat="1" s="51">
      <c r="K355" s="50" t="n"/>
    </row>
    <row r="356" customFormat="1" s="51">
      <c r="K356" s="50" t="n"/>
    </row>
    <row r="357" customFormat="1" s="51">
      <c r="K357" s="50" t="n"/>
    </row>
    <row r="358" customFormat="1" s="51">
      <c r="K358" s="50" t="n"/>
    </row>
    <row r="359" customFormat="1" s="51">
      <c r="K359" s="50" t="n"/>
    </row>
    <row r="360" customFormat="1" s="51">
      <c r="K360" s="50" t="n"/>
    </row>
    <row r="361" customFormat="1" s="51">
      <c r="K361" s="50" t="n"/>
    </row>
    <row r="362" customFormat="1" s="51">
      <c r="K362" s="50" t="n"/>
    </row>
    <row r="363" customFormat="1" s="51">
      <c r="K363" s="50" t="n"/>
    </row>
    <row r="364" customFormat="1" s="51">
      <c r="K364" s="50" t="n"/>
    </row>
    <row r="365" customFormat="1" s="51">
      <c r="K365" s="50" t="n"/>
    </row>
    <row r="366" customFormat="1" s="51">
      <c r="K366" s="50" t="n"/>
    </row>
    <row r="367" customFormat="1" s="51">
      <c r="K367" s="50" t="n"/>
    </row>
    <row r="368" customFormat="1" s="51">
      <c r="K368" s="50" t="n"/>
    </row>
    <row r="369" customFormat="1" s="51">
      <c r="K369" s="50" t="n"/>
    </row>
    <row r="370" customFormat="1" s="51">
      <c r="K370" s="50" t="n"/>
    </row>
    <row r="371" customFormat="1" s="51">
      <c r="K371" s="50" t="n"/>
    </row>
    <row r="372" customFormat="1" s="51">
      <c r="K372" s="50" t="n"/>
    </row>
    <row r="373" customFormat="1" s="51">
      <c r="K373" s="50" t="n"/>
    </row>
    <row r="374" customFormat="1" s="51">
      <c r="K374" s="50" t="n"/>
    </row>
    <row r="375" customFormat="1" s="51">
      <c r="K375" s="50" t="n"/>
    </row>
    <row r="376" customFormat="1" s="51">
      <c r="K376" s="50" t="n"/>
    </row>
    <row r="377" customFormat="1" s="51">
      <c r="K377" s="50" t="n"/>
    </row>
    <row r="378" customFormat="1" s="51">
      <c r="K378" s="50" t="n"/>
    </row>
    <row r="379" customFormat="1" s="51">
      <c r="K379" s="50" t="n"/>
    </row>
    <row r="380" customFormat="1" s="51">
      <c r="K380" s="50" t="n"/>
    </row>
    <row r="381" customFormat="1" s="51">
      <c r="K381" s="50" t="n"/>
    </row>
    <row r="382" customFormat="1" s="51">
      <c r="K382" s="50" t="n"/>
    </row>
    <row r="383" customFormat="1" s="51">
      <c r="K383" s="50" t="n"/>
    </row>
    <row r="384" customFormat="1" s="51">
      <c r="K384" s="50" t="n"/>
    </row>
    <row r="385" customFormat="1" s="51">
      <c r="K385" s="50" t="n"/>
    </row>
    <row r="386" customFormat="1" s="51">
      <c r="K386" s="50" t="n"/>
    </row>
    <row r="387" customFormat="1" s="51">
      <c r="K387" s="50" t="n"/>
    </row>
    <row r="388" customFormat="1" s="51">
      <c r="K388" s="50" t="n"/>
    </row>
    <row r="389" customFormat="1" s="51">
      <c r="K389" s="50" t="n"/>
    </row>
    <row r="390" customFormat="1" s="51">
      <c r="K390" s="50" t="n"/>
    </row>
    <row r="391" customFormat="1" s="51">
      <c r="K391" s="50" t="n"/>
    </row>
    <row r="392" customFormat="1" s="51">
      <c r="K392" s="50" t="n"/>
    </row>
    <row r="393" customFormat="1" s="51">
      <c r="K393" s="50" t="n"/>
    </row>
    <row r="394" customFormat="1" s="51">
      <c r="K394" s="50" t="n"/>
    </row>
    <row r="395" customFormat="1" s="51">
      <c r="K395" s="50" t="n"/>
    </row>
    <row r="396" customFormat="1" s="51">
      <c r="K396" s="50" t="n"/>
    </row>
    <row r="397" customFormat="1" s="51">
      <c r="K397" s="50" t="n"/>
    </row>
    <row r="398" customFormat="1" s="51">
      <c r="K398" s="50" t="n"/>
    </row>
    <row r="399" customFormat="1" s="51">
      <c r="K399" s="50" t="n"/>
    </row>
    <row r="400" customFormat="1" s="51">
      <c r="K400" s="50" t="n"/>
    </row>
    <row r="401" customFormat="1" s="51">
      <c r="K401" s="50" t="n"/>
    </row>
    <row r="402" customFormat="1" s="51">
      <c r="K402" s="50" t="n"/>
    </row>
    <row r="403" customFormat="1" s="51">
      <c r="K403" s="50" t="n"/>
    </row>
    <row r="404" customFormat="1" s="51">
      <c r="K404" s="50" t="n"/>
    </row>
    <row r="405" customFormat="1" s="51">
      <c r="K405" s="50" t="n"/>
    </row>
    <row r="406" customFormat="1" s="51">
      <c r="K406" s="50" t="n"/>
    </row>
    <row r="407" customFormat="1" s="51">
      <c r="K407" s="50" t="n"/>
    </row>
    <row r="408" customFormat="1" s="51">
      <c r="K408" s="50" t="n"/>
    </row>
    <row r="409" customFormat="1" s="51">
      <c r="K409" s="50" t="n"/>
    </row>
    <row r="410" customFormat="1" s="51">
      <c r="K410" s="50" t="n"/>
    </row>
    <row r="411" customFormat="1" s="51">
      <c r="K411" s="50" t="n"/>
    </row>
    <row r="412" customFormat="1" s="51">
      <c r="K412" s="50" t="n"/>
    </row>
    <row r="413" customFormat="1" s="51">
      <c r="K413" s="50" t="n"/>
    </row>
    <row r="414" customFormat="1" s="51">
      <c r="K414" s="50" t="n"/>
    </row>
    <row r="415" customFormat="1" s="51">
      <c r="K415" s="50" t="n"/>
    </row>
    <row r="416" customFormat="1" s="51">
      <c r="K416" s="50" t="n"/>
    </row>
    <row r="417" customFormat="1" s="51">
      <c r="K417" s="50" t="n"/>
    </row>
    <row r="418" customFormat="1" s="51">
      <c r="K418" s="50" t="n"/>
    </row>
    <row r="419" customFormat="1" s="51">
      <c r="K419" s="50" t="n"/>
    </row>
    <row r="420" customFormat="1" s="51">
      <c r="K420" s="50" t="n"/>
    </row>
    <row r="421" customFormat="1" s="51">
      <c r="K421" s="50" t="n"/>
    </row>
    <row r="422" customFormat="1" s="51">
      <c r="K422" s="50" t="n"/>
    </row>
    <row r="423" customFormat="1" s="51">
      <c r="K423" s="50" t="n"/>
    </row>
    <row r="424" customFormat="1" s="51">
      <c r="K424" s="50" t="n"/>
    </row>
    <row r="425" customFormat="1" s="51">
      <c r="K425" s="50" t="n"/>
    </row>
    <row r="426" customFormat="1" s="51">
      <c r="K426" s="50" t="n"/>
    </row>
    <row r="427" customFormat="1" s="51">
      <c r="K427" s="50" t="n"/>
    </row>
    <row r="428" customFormat="1" s="51">
      <c r="K428" s="50" t="n"/>
    </row>
    <row r="429" customFormat="1" s="51">
      <c r="K429" s="50" t="n"/>
    </row>
    <row r="430" customFormat="1" s="51">
      <c r="K430" s="50" t="n"/>
    </row>
    <row r="431" customFormat="1" s="51">
      <c r="K431" s="50" t="n"/>
    </row>
    <row r="432" customFormat="1" s="51">
      <c r="K432" s="50" t="n"/>
    </row>
    <row r="433" customFormat="1" s="51">
      <c r="K433" s="50" t="n"/>
    </row>
    <row r="434" customFormat="1" s="51">
      <c r="K434" s="50" t="n"/>
    </row>
    <row r="435" customFormat="1" s="51">
      <c r="K435" s="50" t="n"/>
    </row>
    <row r="436" customFormat="1" s="51">
      <c r="K436" s="50" t="n"/>
    </row>
    <row r="437" customFormat="1" s="51">
      <c r="K437" s="50" t="n"/>
    </row>
    <row r="438" customFormat="1" s="51">
      <c r="K438" s="50" t="n"/>
    </row>
    <row r="439" customFormat="1" s="51">
      <c r="K439" s="50" t="n"/>
    </row>
    <row r="440" customFormat="1" s="51">
      <c r="K440" s="50" t="n"/>
    </row>
    <row r="441" customFormat="1" s="51">
      <c r="K441" s="50" t="n"/>
    </row>
    <row r="442" customFormat="1" s="51">
      <c r="K442" s="50" t="n"/>
    </row>
    <row r="443" customFormat="1" s="51">
      <c r="K443" s="50" t="n"/>
    </row>
    <row r="444" customFormat="1" s="51">
      <c r="K444" s="50" t="n"/>
    </row>
    <row r="445" customFormat="1" s="51">
      <c r="K445" s="50" t="n"/>
    </row>
    <row r="446" customFormat="1" s="51">
      <c r="K446" s="50" t="n"/>
    </row>
    <row r="447" customFormat="1" s="51">
      <c r="K447" s="50" t="n"/>
    </row>
    <row r="448" customFormat="1" s="51">
      <c r="K448" s="50" t="n"/>
    </row>
    <row r="449" customFormat="1" s="51">
      <c r="K449" s="50" t="n"/>
    </row>
    <row r="450" customFormat="1" s="51">
      <c r="K450" s="50" t="n"/>
    </row>
    <row r="451" customFormat="1" s="51">
      <c r="K451" s="50" t="n"/>
    </row>
    <row r="452" customFormat="1" s="51">
      <c r="K452" s="50" t="n"/>
    </row>
    <row r="453" customFormat="1" s="51">
      <c r="K453" s="50" t="n"/>
    </row>
    <row r="454" customFormat="1" s="51">
      <c r="K454" s="50" t="n"/>
    </row>
    <row r="455" customFormat="1" s="51">
      <c r="K455" s="50" t="n"/>
    </row>
    <row r="456" customFormat="1" s="51">
      <c r="K456" s="50" t="n"/>
    </row>
    <row r="457" customFormat="1" s="51">
      <c r="K457" s="50" t="n"/>
    </row>
    <row r="458" customFormat="1" s="51">
      <c r="K458" s="50" t="n"/>
    </row>
    <row r="459" customFormat="1" s="51">
      <c r="K459" s="50" t="n"/>
    </row>
    <row r="460" customFormat="1" s="51">
      <c r="K460" s="50" t="n"/>
    </row>
    <row r="461" customFormat="1" s="51">
      <c r="K461" s="50" t="n"/>
    </row>
    <row r="462" customFormat="1" s="51">
      <c r="K462" s="50" t="n"/>
    </row>
    <row r="463" customFormat="1" s="51">
      <c r="K463" s="50" t="n"/>
    </row>
    <row r="464" customFormat="1" s="51">
      <c r="K464" s="50" t="n"/>
    </row>
    <row r="465" customFormat="1" s="51">
      <c r="K465" s="50" t="n"/>
    </row>
    <row r="466" customFormat="1" s="51">
      <c r="K466" s="50" t="n"/>
    </row>
    <row r="467" customFormat="1" s="51">
      <c r="K467" s="50" t="n"/>
    </row>
    <row r="468" customFormat="1" s="51">
      <c r="K468" s="50" t="n"/>
    </row>
    <row r="469" customFormat="1" s="51">
      <c r="K469" s="50" t="n"/>
    </row>
    <row r="470" customFormat="1" s="51">
      <c r="K470" s="50" t="n"/>
    </row>
    <row r="471" customFormat="1" s="51">
      <c r="K471" s="50" t="n"/>
    </row>
    <row r="472" customFormat="1" s="51">
      <c r="K472" s="50" t="n"/>
    </row>
    <row r="473" customFormat="1" s="51">
      <c r="K473" s="50" t="n"/>
    </row>
    <row r="474" customFormat="1" s="51">
      <c r="K474" s="50" t="n"/>
    </row>
    <row r="475" customFormat="1" s="51">
      <c r="K475" s="50" t="n"/>
    </row>
    <row r="476" customFormat="1" s="51">
      <c r="K476" s="50" t="n"/>
    </row>
    <row r="477" customFormat="1" s="51">
      <c r="K477" s="50" t="n"/>
    </row>
    <row r="478" customFormat="1" s="51">
      <c r="K478" s="50" t="n"/>
    </row>
    <row r="479" customFormat="1" s="51">
      <c r="K479" s="50" t="n"/>
    </row>
    <row r="480" customFormat="1" s="51">
      <c r="K480" s="50" t="n"/>
    </row>
    <row r="481" customFormat="1" s="51">
      <c r="K481" s="50" t="n"/>
    </row>
    <row r="482" customFormat="1" s="51">
      <c r="K482" s="50" t="n"/>
    </row>
    <row r="483" customFormat="1" s="51">
      <c r="K483" s="50" t="n"/>
    </row>
    <row r="484" customFormat="1" s="51">
      <c r="K484" s="50" t="n"/>
    </row>
    <row r="485" customFormat="1" s="51">
      <c r="K485" s="50" t="n"/>
    </row>
    <row r="486" customFormat="1" s="51">
      <c r="K486" s="50" t="n"/>
    </row>
    <row r="487" customFormat="1" s="51">
      <c r="K487" s="50" t="n"/>
    </row>
    <row r="488" customFormat="1" s="51">
      <c r="K488" s="50" t="n"/>
    </row>
    <row r="489" customFormat="1" s="51">
      <c r="K489" s="50" t="n"/>
    </row>
    <row r="490" customFormat="1" s="51">
      <c r="K490" s="50" t="n"/>
    </row>
    <row r="491" customFormat="1" s="51">
      <c r="K491" s="50" t="n"/>
    </row>
    <row r="492" customFormat="1" s="51">
      <c r="K492" s="50" t="n"/>
    </row>
    <row r="493" customFormat="1" s="51">
      <c r="K493" s="50" t="n"/>
    </row>
    <row r="494" customFormat="1" s="51">
      <c r="K494" s="50" t="n"/>
    </row>
    <row r="495" customFormat="1" s="51">
      <c r="K495" s="50" t="n"/>
    </row>
    <row r="496" customFormat="1" s="51">
      <c r="K496" s="50" t="n"/>
    </row>
    <row r="497" customFormat="1" s="51">
      <c r="K497" s="50" t="n"/>
    </row>
    <row r="498" customFormat="1" s="51">
      <c r="K498" s="50" t="n"/>
    </row>
    <row r="499" customFormat="1" s="51">
      <c r="K499" s="50" t="n"/>
    </row>
    <row r="500" customFormat="1" s="51">
      <c r="K500" s="50" t="n"/>
    </row>
    <row r="501" customFormat="1" s="51">
      <c r="K501" s="50" t="n"/>
    </row>
    <row r="502" customFormat="1" s="51">
      <c r="K502" s="50" t="n"/>
    </row>
    <row r="503" customFormat="1" s="51">
      <c r="K503" s="50" t="n"/>
    </row>
    <row r="504" customFormat="1" s="51">
      <c r="K504" s="50" t="n"/>
    </row>
    <row r="505" customFormat="1" s="51">
      <c r="K505" s="50" t="n"/>
    </row>
    <row r="506" customFormat="1" s="51">
      <c r="K506" s="50" t="n"/>
    </row>
    <row r="507" customFormat="1" s="51">
      <c r="K507" s="50" t="n"/>
    </row>
    <row r="508" customFormat="1" s="51">
      <c r="K508" s="50" t="n"/>
    </row>
    <row r="509" customFormat="1" s="51">
      <c r="K509" s="50" t="n"/>
    </row>
    <row r="510" customFormat="1" s="51">
      <c r="K510" s="50" t="n"/>
    </row>
    <row r="511" customFormat="1" s="51">
      <c r="K511" s="50" t="n"/>
    </row>
    <row r="512" customFormat="1" s="51">
      <c r="K512" s="50" t="n"/>
    </row>
    <row r="513" customFormat="1" s="51">
      <c r="K513" s="50" t="n"/>
    </row>
    <row r="514" customFormat="1" s="51">
      <c r="K514" s="50" t="n"/>
    </row>
    <row r="515" customFormat="1" s="51">
      <c r="K515" s="50" t="n"/>
    </row>
    <row r="516" customFormat="1" s="51">
      <c r="K516" s="50" t="n"/>
    </row>
    <row r="517" customFormat="1" s="51">
      <c r="K517" s="50" t="n"/>
    </row>
    <row r="518" customFormat="1" s="51">
      <c r="K518" s="50" t="n"/>
    </row>
    <row r="519" customFormat="1" s="51">
      <c r="K519" s="50" t="n"/>
    </row>
    <row r="520" customFormat="1" s="51">
      <c r="K520" s="50" t="n"/>
    </row>
    <row r="521" customFormat="1" s="51">
      <c r="K521" s="50" t="n"/>
    </row>
    <row r="522" customFormat="1" s="51">
      <c r="K522" s="50" t="n"/>
    </row>
    <row r="523" customFormat="1" s="51">
      <c r="K523" s="50" t="n"/>
    </row>
    <row r="524" customFormat="1" s="51">
      <c r="K524" s="50" t="n"/>
    </row>
    <row r="525" customFormat="1" s="51">
      <c r="K525" s="50" t="n"/>
    </row>
    <row r="526" customFormat="1" s="51">
      <c r="K526" s="50" t="n"/>
    </row>
    <row r="527" customFormat="1" s="51">
      <c r="K527" s="50" t="n"/>
    </row>
    <row r="528" customFormat="1" s="51">
      <c r="K528" s="50" t="n"/>
    </row>
    <row r="529" customFormat="1" s="51">
      <c r="K529" s="50" t="n"/>
    </row>
    <row r="530" customFormat="1" s="51">
      <c r="K530" s="50" t="n"/>
    </row>
    <row r="531" customFormat="1" s="51">
      <c r="K531" s="50" t="n"/>
    </row>
    <row r="532" customFormat="1" s="51">
      <c r="K532" s="50" t="n"/>
    </row>
    <row r="533" customFormat="1" s="51">
      <c r="K533" s="50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N24:O24"/>
    <mergeCell ref="B31:M31"/>
    <mergeCell ref="C6:AF6"/>
    <mergeCell ref="C5:AF5"/>
    <mergeCell ref="N27:O27"/>
    <mergeCell ref="AC10:AF10"/>
    <mergeCell ref="S10:V10"/>
    <mergeCell ref="N10:Q10"/>
  </mergeCells>
  <conditionalFormatting sqref="N24">
    <cfRule type="cellIs" priority="9" operator="equal" dxfId="65">
      <formula>"PASS"</formula>
    </cfRule>
  </conditionalFormatting>
  <conditionalFormatting sqref="B24">
    <cfRule type="cellIs" priority="8" operator="equal" dxfId="65">
      <formula>"PASS"</formula>
    </cfRule>
  </conditionalFormatting>
  <conditionalFormatting sqref="N30">
    <cfRule type="cellIs" priority="5" operator="equal" dxfId="65">
      <formula>"PASS"</formula>
    </cfRule>
  </conditionalFormatting>
  <conditionalFormatting sqref="B30">
    <cfRule type="cellIs" priority="4" operator="equal" dxfId="65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topLeftCell="C13" zoomScale="80" zoomScaleNormal="80" workbookViewId="0">
      <selection activeCell="J24" sqref="J24:J25"/>
    </sheetView>
  </sheetViews>
  <sheetFormatPr baseColWidth="8" defaultColWidth="9" defaultRowHeight="15.5"/>
  <cols>
    <col width="4.25" customWidth="1" style="51" min="1" max="1"/>
    <col width="27.08203125" customWidth="1" style="40" min="2" max="2"/>
    <col width="43.58203125" bestFit="1" customWidth="1" style="40" min="3" max="3"/>
    <col width="75.08203125" customWidth="1" style="50" min="4" max="4"/>
    <col width="8.08203125" bestFit="1" customWidth="1" style="51" min="5" max="6"/>
    <col width="11.25" bestFit="1" customWidth="1" style="51" min="7" max="7"/>
    <col width="21.58203125" customWidth="1" style="51" min="8" max="8"/>
    <col width="10.25" bestFit="1" customWidth="1" style="51" min="9" max="9"/>
    <col width="15" bestFit="1" customWidth="1" style="51" min="10" max="10"/>
    <col width="44.33203125" bestFit="1" customWidth="1" style="50" min="11" max="11"/>
    <col width="17.83203125" customWidth="1" style="51" min="12" max="12"/>
    <col width="9" customWidth="1" style="51" min="13" max="14"/>
    <col width="9" customWidth="1" style="40" min="15" max="15"/>
    <col width="9" customWidth="1" style="51" min="16" max="16384"/>
  </cols>
  <sheetData>
    <row r="1" ht="35.25" customFormat="1" customHeight="1" s="59">
      <c r="A1" s="82" t="inlineStr">
        <is>
          <t>Defect Summary</t>
        </is>
      </c>
    </row>
    <row r="3">
      <c r="B3" s="60" t="inlineStr">
        <is>
          <t>Overall Defect Status</t>
        </is>
      </c>
      <c r="C3" s="51" t="n"/>
    </row>
    <row r="4">
      <c r="B4" s="61" t="inlineStr">
        <is>
          <t>Total No. of Raised Defects</t>
        </is>
      </c>
      <c r="C4" s="92">
        <f>SUM(C10:D13)</f>
        <v/>
      </c>
    </row>
    <row r="5">
      <c r="B5" s="61" t="inlineStr">
        <is>
          <t>Total No. of Open Defects</t>
        </is>
      </c>
      <c r="C5" s="92">
        <f>SUM(C10:C13)</f>
        <v/>
      </c>
    </row>
    <row r="6">
      <c r="B6" s="61" t="inlineStr">
        <is>
          <t>Open Defect Severity Index (DSI)</t>
        </is>
      </c>
      <c r="C6" s="64">
        <f>((C10*4) + (C11*3) + (C12*2) +(C13*1))/C5</f>
        <v/>
      </c>
    </row>
    <row r="8">
      <c r="C8" s="51" t="n"/>
      <c r="D8" s="51" t="n"/>
    </row>
    <row r="9">
      <c r="B9" s="60" t="inlineStr">
        <is>
          <t xml:space="preserve"> Defect Severity Summary</t>
        </is>
      </c>
      <c r="C9" s="65" t="inlineStr">
        <is>
          <t>No. of Defects Open</t>
        </is>
      </c>
      <c r="D9" s="66" t="inlineStr">
        <is>
          <t>No. of Defects Closed</t>
        </is>
      </c>
    </row>
    <row r="10">
      <c r="B10" s="61" t="inlineStr">
        <is>
          <t>Critical (S1)</t>
        </is>
      </c>
      <c r="C10" s="67">
        <f>COUNTIFS($E:$E, "Critical",$J:$J, "Unresolved")</f>
        <v/>
      </c>
      <c r="D10" s="92">
        <f>COUNTIFS($E:$E, "Critical", $J:$J, "Fixed")</f>
        <v/>
      </c>
    </row>
    <row r="11">
      <c r="B11" s="61" t="inlineStr">
        <is>
          <t>High (S2)</t>
        </is>
      </c>
      <c r="C11" s="67">
        <f>COUNTIFS($E:$E, "High", $J:$J, "Unresolved")</f>
        <v/>
      </c>
      <c r="D11" s="92">
        <f>COUNTIFS($E:$E, "High", $J:$J, "Fixed")</f>
        <v/>
      </c>
    </row>
    <row r="12">
      <c r="B12" s="61" t="inlineStr">
        <is>
          <t>Medium (S3)</t>
        </is>
      </c>
      <c r="C12" s="67">
        <f>COUNTIFS($E:$E, "Medium", $J:$J, "Unresolved")</f>
        <v/>
      </c>
      <c r="D12" s="92">
        <f>COUNTIFS($E:$E, "Medium", $J:$J, "Fixed")</f>
        <v/>
      </c>
    </row>
    <row r="13">
      <c r="B13" s="61" t="inlineStr">
        <is>
          <t>Low (S4)</t>
        </is>
      </c>
      <c r="C13" s="67">
        <f>COUNTIFS($E:$E, "Low", $J:$J, "Unresolved")</f>
        <v/>
      </c>
      <c r="D13" s="92">
        <f>COUNTIFS($E:$E, "Low", $J:$J, "Fixed")</f>
        <v/>
      </c>
    </row>
    <row r="14">
      <c r="C14" s="68" t="n"/>
      <c r="D14" s="69" t="n"/>
    </row>
    <row r="15">
      <c r="C15" s="70" t="n"/>
      <c r="D15" s="70" t="n"/>
    </row>
    <row r="16">
      <c r="B16" s="60" t="inlineStr">
        <is>
          <t xml:space="preserve"> Defect Priority Summary</t>
        </is>
      </c>
      <c r="C16" s="66" t="inlineStr">
        <is>
          <t>No. of Defects Open</t>
        </is>
      </c>
      <c r="D16" s="66" t="inlineStr">
        <is>
          <t>No. of Defects Closed</t>
        </is>
      </c>
    </row>
    <row r="17">
      <c r="B17" s="61" t="inlineStr">
        <is>
          <t>Critical</t>
        </is>
      </c>
      <c r="C17" s="67">
        <f>COUNTIFS($F:$F, "Critical", $J:$J, "Unresolved")</f>
        <v/>
      </c>
      <c r="D17" s="92">
        <f>COUNTIFS($F:$F, "Critical", $J:$J, "Fixed")</f>
        <v/>
      </c>
    </row>
    <row r="18">
      <c r="B18" s="61" t="inlineStr">
        <is>
          <t>High</t>
        </is>
      </c>
      <c r="C18" s="67">
        <f>COUNTIFS($F:$F, "High", $J:$J, "Unresolved")</f>
        <v/>
      </c>
      <c r="D18" s="92">
        <f>COUNTIFS($F:$F, "High", $J:$J, "Fixed")</f>
        <v/>
      </c>
    </row>
    <row r="19">
      <c r="B19" s="61" t="inlineStr">
        <is>
          <t>Medium</t>
        </is>
      </c>
      <c r="C19" s="67">
        <f>COUNTIFS($F:$F, "Medium", $J:$J, "Unresolved")</f>
        <v/>
      </c>
      <c r="D19" s="92">
        <f>COUNTIFS($F:$F, "Medium", $J:$J, "Fixed")</f>
        <v/>
      </c>
    </row>
    <row r="20">
      <c r="B20" s="71" t="inlineStr">
        <is>
          <t>Low</t>
        </is>
      </c>
      <c r="C20" s="67">
        <f>COUNTIFS($F:$F, "Low", $J:$J, "Unresolved")</f>
        <v/>
      </c>
      <c r="D20" s="92">
        <f>COUNTIFS($F:$F, "Low", $J:$J, "Fixed")</f>
        <v/>
      </c>
    </row>
    <row r="23" ht="31.5" customFormat="1" customHeight="1" s="41">
      <c r="B23" s="36" t="inlineStr">
        <is>
          <t>JIRA Defect ID</t>
        </is>
      </c>
      <c r="C23" s="36" t="inlineStr">
        <is>
          <t>JIRA Link</t>
        </is>
      </c>
      <c r="D23" s="36" t="inlineStr">
        <is>
          <t>Defect Summary</t>
        </is>
      </c>
      <c r="E23" s="36" t="inlineStr">
        <is>
          <t>Severity</t>
        </is>
      </c>
      <c r="F23" s="36" t="inlineStr">
        <is>
          <t>Priority</t>
        </is>
      </c>
      <c r="G23" s="36" t="inlineStr">
        <is>
          <t>Date Opened</t>
        </is>
      </c>
      <c r="H23" s="36" t="inlineStr">
        <is>
          <t>Defect Routed To</t>
        </is>
      </c>
      <c r="I23" s="36" t="inlineStr">
        <is>
          <t>Date Closed</t>
        </is>
      </c>
      <c r="J23" s="36" t="inlineStr">
        <is>
          <t>Status</t>
        </is>
      </c>
      <c r="K23" s="36" t="inlineStr">
        <is>
          <t>Comments</t>
        </is>
      </c>
      <c r="L23" s="36" t="inlineStr">
        <is>
          <t>Failed Test Case Count</t>
        </is>
      </c>
      <c r="O23" s="42" t="n"/>
    </row>
    <row r="24">
      <c r="A24" s="69" t="n"/>
      <c r="B24" s="78" t="n"/>
      <c r="C24" s="37" t="n"/>
      <c r="D24" s="13" t="n"/>
      <c r="E24" s="38" t="n"/>
      <c r="F24" s="38" t="n"/>
      <c r="G24" s="39" t="n"/>
      <c r="H24" s="81" t="n"/>
      <c r="I24" s="39" t="n"/>
      <c r="J24" s="77" t="n"/>
      <c r="K24" s="13" t="n"/>
      <c r="L24" s="92" t="n"/>
    </row>
    <row r="25">
      <c r="A25" s="69" t="n"/>
      <c r="B25" s="78" t="n"/>
      <c r="C25" s="37" t="n"/>
      <c r="D25" s="13" t="n"/>
      <c r="E25" s="38" t="n"/>
      <c r="F25" s="38" t="n"/>
      <c r="G25" s="39" t="n"/>
      <c r="H25" s="81" t="n"/>
      <c r="I25" s="39" t="n"/>
      <c r="J25" s="77" t="n"/>
      <c r="K25" s="13" t="n"/>
      <c r="L25" s="92" t="n"/>
    </row>
    <row r="26">
      <c r="B26" s="78" t="n"/>
      <c r="C26" s="37" t="n"/>
      <c r="D26" s="13" t="n"/>
      <c r="E26" s="38" t="n"/>
      <c r="F26" s="38" t="n"/>
      <c r="G26" s="39" t="n"/>
      <c r="H26" s="81" t="n"/>
      <c r="I26" s="39" t="n"/>
      <c r="J26" s="77" t="n"/>
      <c r="K26" s="13" t="n"/>
      <c r="L26" s="92" t="n"/>
    </row>
    <row r="27">
      <c r="B27" s="79" t="n"/>
      <c r="C27" s="72" t="n"/>
      <c r="D27" s="13" t="n"/>
      <c r="E27" s="38" t="n"/>
      <c r="F27" s="38" t="n"/>
      <c r="G27" s="39" t="n"/>
      <c r="H27" s="81" t="n"/>
      <c r="I27" s="39" t="n"/>
      <c r="J27" s="77" t="n"/>
      <c r="K27" s="13" t="n"/>
      <c r="L27" s="92" t="n"/>
    </row>
    <row r="28">
      <c r="B28" s="79" t="n"/>
      <c r="C28" s="37" t="n"/>
      <c r="D28" s="13" t="n"/>
      <c r="E28" s="38" t="n"/>
      <c r="F28" s="38" t="n"/>
      <c r="G28" s="39" t="n"/>
      <c r="H28" s="81" t="n"/>
      <c r="I28" s="39" t="n"/>
      <c r="J28" s="77" t="n"/>
      <c r="K28" s="13" t="n"/>
      <c r="L28" s="92" t="n"/>
    </row>
    <row r="29">
      <c r="B29" s="79" t="n"/>
      <c r="C29" s="37" t="n"/>
      <c r="D29" s="13" t="n"/>
      <c r="E29" s="38" t="n"/>
      <c r="F29" s="38" t="n"/>
      <c r="G29" s="39" t="n"/>
      <c r="H29" s="81" t="n"/>
      <c r="I29" s="38" t="n"/>
      <c r="J29" s="77" t="n"/>
      <c r="K29" s="13" t="n"/>
      <c r="L29" s="92" t="n"/>
    </row>
    <row r="30">
      <c r="B30" s="79" t="n"/>
      <c r="C30" s="37" t="n"/>
      <c r="D30" s="13" t="n"/>
      <c r="E30" s="38" t="n"/>
      <c r="F30" s="38" t="n"/>
      <c r="G30" s="39" t="n"/>
      <c r="H30" s="81" t="n"/>
      <c r="I30" s="38" t="n"/>
      <c r="J30" s="77" t="n"/>
      <c r="K30" s="13" t="n"/>
      <c r="L30" s="73" t="n"/>
      <c r="M30" s="74" t="n"/>
    </row>
    <row r="31">
      <c r="B31" s="79" t="n"/>
      <c r="C31" s="37" t="n"/>
      <c r="D31" s="13" t="n"/>
      <c r="E31" s="38" t="n"/>
      <c r="F31" s="38" t="n"/>
      <c r="G31" s="39" t="n"/>
      <c r="H31" s="81" t="n"/>
      <c r="I31" s="39" t="n"/>
      <c r="J31" s="77" t="n"/>
      <c r="K31" s="13" t="n"/>
      <c r="L31" s="73" t="n"/>
      <c r="M31" s="74" t="n"/>
    </row>
    <row r="32">
      <c r="B32" s="79" t="n"/>
      <c r="C32" s="37" t="n"/>
      <c r="D32" s="13" t="n"/>
      <c r="E32" s="38" t="n"/>
      <c r="F32" s="38" t="n"/>
      <c r="G32" s="39" t="n"/>
      <c r="H32" s="81" t="n"/>
      <c r="I32" s="39" t="n"/>
      <c r="J32" s="77" t="n"/>
      <c r="K32" s="13" t="n"/>
      <c r="L32" s="92" t="n"/>
    </row>
    <row r="33">
      <c r="B33" s="79" t="n"/>
      <c r="C33" s="37" t="n"/>
      <c r="D33" s="13" t="n"/>
      <c r="E33" s="38" t="n"/>
      <c r="F33" s="38" t="n"/>
      <c r="G33" s="39" t="n"/>
      <c r="H33" s="81" t="n"/>
      <c r="I33" s="39" t="n"/>
      <c r="J33" s="77" t="n"/>
      <c r="K33" s="13" t="n"/>
      <c r="L33" s="92" t="n"/>
    </row>
    <row r="34">
      <c r="B34" s="79" t="n"/>
      <c r="C34" s="37" t="n"/>
      <c r="D34" s="13" t="n"/>
      <c r="E34" s="38" t="n"/>
      <c r="F34" s="38" t="n"/>
      <c r="G34" s="39" t="n"/>
      <c r="H34" s="81" t="n"/>
      <c r="I34" s="39" t="n"/>
      <c r="J34" s="77" t="n"/>
      <c r="K34" s="13" t="n"/>
      <c r="L34" s="92" t="n"/>
    </row>
    <row r="35">
      <c r="B35" s="79" t="n"/>
      <c r="C35" s="37" t="n"/>
      <c r="D35" s="13" t="n"/>
      <c r="E35" s="38" t="n"/>
      <c r="F35" s="38" t="n"/>
      <c r="G35" s="39" t="n"/>
      <c r="H35" s="81" t="n"/>
      <c r="I35" s="39" t="n"/>
      <c r="J35" s="77" t="n"/>
      <c r="K35" s="13" t="n"/>
      <c r="L35" s="92" t="n"/>
    </row>
    <row r="36">
      <c r="B36" s="79" t="n"/>
      <c r="C36" s="37" t="n"/>
      <c r="D36" s="13" t="n"/>
      <c r="E36" s="38" t="n"/>
      <c r="F36" s="38" t="n"/>
      <c r="G36" s="39" t="n"/>
      <c r="H36" s="81" t="n"/>
      <c r="I36" s="39" t="n"/>
      <c r="J36" s="77" t="n"/>
      <c r="K36" s="13" t="n"/>
      <c r="L36" s="92" t="n"/>
    </row>
    <row r="37">
      <c r="B37" s="79" t="n"/>
      <c r="C37" s="37" t="n"/>
      <c r="D37" s="13" t="n"/>
      <c r="E37" s="38" t="n"/>
      <c r="F37" s="38" t="n"/>
      <c r="G37" s="39" t="n"/>
      <c r="H37" s="81" t="n"/>
      <c r="I37" s="39" t="n"/>
      <c r="J37" s="77" t="n"/>
      <c r="K37" s="13" t="n"/>
      <c r="L37" s="92" t="n"/>
    </row>
    <row r="38">
      <c r="B38" s="79" t="n"/>
      <c r="C38" s="37" t="n"/>
      <c r="D38" s="13" t="n"/>
      <c r="E38" s="38" t="n"/>
      <c r="F38" s="38" t="n"/>
      <c r="G38" s="39" t="n"/>
      <c r="H38" s="81" t="n"/>
      <c r="I38" s="38" t="n"/>
      <c r="J38" s="77" t="n"/>
      <c r="K38" s="13" t="n"/>
      <c r="L38" s="92" t="n"/>
    </row>
    <row r="39">
      <c r="B39" s="79" t="n"/>
      <c r="C39" s="37" t="n"/>
      <c r="D39" s="13" t="n"/>
      <c r="E39" s="38" t="n"/>
      <c r="F39" s="38" t="n"/>
      <c r="G39" s="39" t="n"/>
      <c r="H39" s="81" t="n"/>
      <c r="I39" s="39" t="n"/>
      <c r="J39" s="77" t="n"/>
      <c r="K39" s="13" t="n"/>
      <c r="L39" s="92" t="n"/>
    </row>
    <row r="40">
      <c r="B40" s="79" t="n"/>
      <c r="C40" s="37" t="n"/>
      <c r="D40" s="13" t="n"/>
      <c r="E40" s="38" t="n"/>
      <c r="F40" s="38" t="n"/>
      <c r="G40" s="39" t="n"/>
      <c r="H40" s="81" t="n"/>
      <c r="I40" s="39" t="n"/>
      <c r="J40" s="77" t="n"/>
      <c r="K40" s="13" t="n"/>
      <c r="L40" s="92" t="n"/>
    </row>
    <row r="41">
      <c r="B41" s="48" t="n"/>
      <c r="C41" s="49" t="n"/>
      <c r="D41" s="50" t="n"/>
      <c r="E41" s="51" t="n"/>
      <c r="F41" s="51" t="n"/>
      <c r="G41" s="51" t="n"/>
      <c r="H41" s="51" t="n"/>
      <c r="I41" s="51" t="n"/>
      <c r="J41" s="52" t="n"/>
      <c r="K41" s="50" t="n"/>
    </row>
  </sheetData>
  <mergeCells count="1">
    <mergeCell ref="A1:D1"/>
  </mergeCells>
  <conditionalFormatting sqref="J24:J40">
    <cfRule type="cellIs" priority="1" operator="equal" dxfId="0">
      <formula>"Unresolved"</formula>
    </cfRule>
    <cfRule type="cellIs" priority="2" operator="equal" dxfId="84">
      <formula>"Fixed"</formula>
    </cfRule>
  </conditionalFormatting>
  <dataValidations count="2">
    <dataValidation sqref="J24:J40" showDropDown="0" showInputMessage="1" showErrorMessage="1" allowBlank="1" type="list">
      <formula1>"Fixed,Unresolved"</formula1>
    </dataValidation>
    <dataValidation sqref="E24:F40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E1" zoomScale="80" zoomScaleNormal="80" workbookViewId="0">
      <selection activeCell="E9" sqref="E9:F9"/>
    </sheetView>
  </sheetViews>
  <sheetFormatPr baseColWidth="8" defaultColWidth="9" defaultRowHeight="15.5"/>
  <cols>
    <col width="4.25" customWidth="1" style="51" min="1" max="1"/>
    <col width="23.08203125" bestFit="1" customWidth="1" style="40" min="2" max="2"/>
    <col width="38.25" customWidth="1" style="40" min="3" max="3"/>
    <col width="75.08203125" customWidth="1" style="50" min="4" max="4"/>
    <col width="8.08203125" bestFit="1" customWidth="1" style="51" min="5" max="6"/>
    <col width="11.25" bestFit="1" customWidth="1" style="51" min="7" max="7"/>
    <col width="18.75" customWidth="1" style="51" min="8" max="8"/>
    <col width="10.25" bestFit="1" customWidth="1" style="51" min="9" max="9"/>
    <col width="15" bestFit="1" customWidth="1" style="51" min="10" max="10"/>
    <col width="27" customWidth="1" style="50" min="11" max="11"/>
    <col width="17.83203125" customWidth="1" style="51" min="12" max="12"/>
    <col width="9" customWidth="1" style="51" min="13" max="14"/>
    <col width="9" customWidth="1" style="40" min="15" max="15"/>
    <col width="9" customWidth="1" style="51" min="16" max="16384"/>
  </cols>
  <sheetData>
    <row r="1" ht="35.25" customFormat="1" customHeight="1" s="59">
      <c r="A1" s="82" t="inlineStr">
        <is>
          <t>Clarification Summary</t>
        </is>
      </c>
    </row>
    <row r="3">
      <c r="B3" s="60" t="inlineStr">
        <is>
          <t>Overall  Clarification Status</t>
        </is>
      </c>
      <c r="C3" s="51" t="n"/>
    </row>
    <row r="4">
      <c r="B4" s="75" t="inlineStr">
        <is>
          <t xml:space="preserve">No. of Open Clarifications  </t>
        </is>
      </c>
      <c r="C4" s="64">
        <f>COUNTIFS($J:$J, "Unresolved")</f>
        <v/>
      </c>
    </row>
    <row r="5">
      <c r="B5" s="75" t="inlineStr">
        <is>
          <t xml:space="preserve">No. of Closed Clarifications  </t>
        </is>
      </c>
      <c r="C5" s="92">
        <f>COUNTIFS($J:$J, "Resolved")</f>
        <v/>
      </c>
    </row>
    <row r="8">
      <c r="B8" s="36" t="inlineStr">
        <is>
          <t>JIRA Clarification ID</t>
        </is>
      </c>
      <c r="C8" s="36" t="inlineStr">
        <is>
          <t>JIRA Link</t>
        </is>
      </c>
      <c r="D8" s="36" t="inlineStr">
        <is>
          <t>Clarification Summary</t>
        </is>
      </c>
      <c r="E8" s="36" t="inlineStr">
        <is>
          <t>Severity</t>
        </is>
      </c>
      <c r="F8" s="36" t="inlineStr">
        <is>
          <t>Priority</t>
        </is>
      </c>
      <c r="G8" s="36" t="inlineStr">
        <is>
          <t>Date Opened</t>
        </is>
      </c>
      <c r="H8" s="36" t="inlineStr">
        <is>
          <t>Clarification Routed To</t>
        </is>
      </c>
      <c r="I8" s="36" t="inlineStr">
        <is>
          <t>Date Closed</t>
        </is>
      </c>
      <c r="J8" s="36" t="inlineStr">
        <is>
          <t>Status</t>
        </is>
      </c>
      <c r="K8" s="36" t="inlineStr">
        <is>
          <t>Comments</t>
        </is>
      </c>
    </row>
    <row r="9" ht="33" customHeight="1">
      <c r="B9" s="78" t="n"/>
      <c r="C9" s="37" t="n"/>
      <c r="D9" s="13" t="n"/>
      <c r="E9" s="38" t="n"/>
      <c r="F9" s="38" t="n"/>
      <c r="G9" s="39" t="n"/>
      <c r="H9" s="81" t="n"/>
      <c r="I9" s="39" t="n"/>
      <c r="J9" s="77" t="n"/>
      <c r="K9" s="13" t="n"/>
    </row>
    <row r="10">
      <c r="B10" s="78" t="n"/>
      <c r="C10" s="37" t="n"/>
      <c r="D10" s="13" t="n"/>
      <c r="E10" s="38" t="n"/>
      <c r="F10" s="38" t="n"/>
      <c r="G10" s="39" t="n"/>
      <c r="H10" s="81" t="n"/>
      <c r="I10" s="39" t="n"/>
      <c r="J10" s="77" t="n"/>
      <c r="K10" s="13" t="n"/>
    </row>
    <row r="11">
      <c r="B11" s="78" t="n"/>
      <c r="C11" s="76" t="n"/>
      <c r="D11" s="13" t="n"/>
      <c r="E11" s="38" t="n"/>
      <c r="F11" s="38" t="n"/>
      <c r="G11" s="39" t="n"/>
      <c r="H11" s="81" t="n"/>
      <c r="I11" s="39" t="n"/>
      <c r="J11" s="77" t="n"/>
      <c r="K11" s="13" t="n"/>
    </row>
    <row r="12">
      <c r="B12" s="79" t="n"/>
      <c r="C12" s="37" t="n"/>
      <c r="D12" s="13" t="n"/>
      <c r="E12" s="38" t="n"/>
      <c r="F12" s="38" t="n"/>
      <c r="G12" s="39" t="n"/>
      <c r="H12" s="81" t="n"/>
      <c r="I12" s="39" t="n"/>
      <c r="J12" s="77" t="n"/>
      <c r="K12" s="13" t="n"/>
    </row>
    <row r="13">
      <c r="B13" s="79" t="n"/>
      <c r="C13" s="37" t="n"/>
      <c r="D13" s="13" t="n"/>
      <c r="E13" s="38" t="n"/>
      <c r="F13" s="38" t="n"/>
      <c r="G13" s="39" t="n"/>
      <c r="H13" s="81" t="n"/>
      <c r="I13" s="39" t="n"/>
      <c r="J13" s="77" t="n"/>
      <c r="K13" s="13" t="n"/>
    </row>
    <row r="14">
      <c r="B14" s="78" t="n"/>
      <c r="C14" s="37" t="n"/>
      <c r="D14" s="13" t="n"/>
      <c r="E14" s="38" t="n"/>
      <c r="F14" s="38" t="n"/>
      <c r="G14" s="39" t="n"/>
      <c r="H14" s="81" t="n"/>
      <c r="I14" s="39" t="n"/>
      <c r="J14" s="77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84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26"/>
  <sheetViews>
    <sheetView zoomScale="80" zoomScaleNormal="80" workbookViewId="0">
      <pane ySplit="1" topLeftCell="A2" activePane="bottomLeft" state="frozen"/>
      <selection pane="bottomLeft" activeCell="H2" sqref="H2:H6"/>
    </sheetView>
  </sheetViews>
  <sheetFormatPr baseColWidth="8" defaultColWidth="29.5" defaultRowHeight="14.5"/>
  <cols>
    <col width="15.58203125" customWidth="1" style="3" min="1" max="1"/>
    <col width="18.58203125" customWidth="1" style="3" min="2" max="2"/>
    <col width="16.5" customWidth="1" style="3" min="3" max="3"/>
    <col width="17.33203125" customWidth="1" style="3" min="4" max="4"/>
    <col width="25.1640625" customWidth="1" style="3" min="5" max="5"/>
    <col width="10.8320312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5" t="inlineStr">
        <is>
          <t>Test Results</t>
        </is>
      </c>
      <c r="I1" s="43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  <c r="AK1" s="45" t="n"/>
      <c r="AL1" s="45" t="n"/>
      <c r="AM1" s="45" t="n"/>
      <c r="AN1" s="45" t="n"/>
      <c r="AO1" s="45" t="n"/>
      <c r="AP1" s="45" t="n"/>
      <c r="AQ1" s="45" t="n"/>
      <c r="AR1" s="45" t="n"/>
      <c r="AS1" s="45" t="n"/>
      <c r="AT1" s="45" t="n"/>
      <c r="AU1" s="45" t="n"/>
      <c r="AV1" s="45" t="n"/>
      <c r="AW1" s="45" t="n"/>
      <c r="AX1" s="45" t="n"/>
      <c r="AY1" s="45" t="n"/>
      <c r="AZ1" s="45" t="n"/>
      <c r="BA1" s="45" t="n"/>
      <c r="BB1" s="45" t="n"/>
      <c r="BC1" s="45" t="n"/>
      <c r="BD1" s="45" t="n"/>
      <c r="BE1" s="45" t="n"/>
      <c r="BF1" s="45" t="n"/>
      <c r="BG1" s="45" t="n"/>
      <c r="BH1" s="45" t="n"/>
      <c r="BI1" s="45" t="n"/>
      <c r="BJ1" s="45" t="n"/>
      <c r="BK1" s="45" t="n"/>
      <c r="BL1" s="45" t="n"/>
      <c r="BM1" s="45" t="n"/>
      <c r="BN1" s="45" t="n"/>
      <c r="BO1" s="45" t="n"/>
      <c r="BP1" s="45" t="n"/>
      <c r="BQ1" s="45" t="n"/>
      <c r="BR1" s="45" t="n"/>
      <c r="BS1" s="45" t="n"/>
      <c r="BT1" s="45" t="n"/>
      <c r="BU1" s="45" t="n"/>
      <c r="BV1" s="45" t="n"/>
      <c r="BW1" s="45" t="n"/>
      <c r="BX1" s="45" t="n"/>
      <c r="BY1" s="45" t="n"/>
      <c r="BZ1" s="45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  <c r="CO1" s="45" t="n"/>
      <c r="CP1" s="45" t="n"/>
      <c r="CQ1" s="45" t="n"/>
      <c r="CR1" s="45" t="n"/>
      <c r="CS1" s="45" t="n"/>
      <c r="CT1" s="45" t="n"/>
      <c r="CU1" s="45" t="n"/>
      <c r="CV1" s="45" t="n"/>
      <c r="CW1" s="45" t="n"/>
      <c r="CX1" s="45" t="n"/>
      <c r="CY1" s="45" t="n"/>
      <c r="CZ1" s="45" t="n"/>
      <c r="DA1" s="45" t="n"/>
      <c r="DB1" s="45" t="n"/>
      <c r="DC1" s="45" t="n"/>
      <c r="DD1" s="45" t="n"/>
      <c r="DE1" s="45" t="n"/>
      <c r="DF1" s="45" t="n"/>
      <c r="DG1" s="45" t="n"/>
      <c r="DH1" s="45" t="n"/>
      <c r="DI1" s="45" t="n"/>
      <c r="DJ1" s="45" t="n"/>
      <c r="DK1" s="45" t="n"/>
      <c r="DL1" s="45" t="n"/>
      <c r="DM1" s="45" t="n"/>
      <c r="DN1" s="45" t="n"/>
      <c r="DO1" s="45" t="n"/>
      <c r="DP1" s="45" t="n"/>
      <c r="DQ1" s="45" t="n"/>
      <c r="DR1" s="45" t="n"/>
      <c r="DS1" s="45" t="n"/>
      <c r="DT1" s="45" t="n"/>
      <c r="DU1" s="45" t="n"/>
      <c r="DV1" s="45" t="n"/>
      <c r="DW1" s="45" t="n"/>
      <c r="DX1" s="45" t="n"/>
      <c r="DY1" s="45" t="n"/>
      <c r="DZ1" s="45" t="n"/>
      <c r="EA1" s="45" t="n"/>
      <c r="EB1" s="45" t="n"/>
      <c r="EC1" s="45" t="n"/>
      <c r="ED1" s="45" t="n"/>
      <c r="EE1" s="45" t="n"/>
      <c r="EF1" s="45" t="n"/>
      <c r="EG1" s="45" t="n"/>
      <c r="EH1" s="45" t="n"/>
      <c r="EI1" s="45" t="n"/>
      <c r="EJ1" s="45" t="n"/>
      <c r="EK1" s="45" t="n"/>
      <c r="EL1" s="45" t="n"/>
      <c r="EM1" s="45" t="n"/>
      <c r="EN1" s="45" t="n"/>
      <c r="EO1" s="45" t="n"/>
      <c r="EP1" s="45" t="n"/>
      <c r="EQ1" s="45" t="n"/>
      <c r="ER1" s="45" t="n"/>
      <c r="ES1" s="45" t="n"/>
      <c r="ET1" s="45" t="n"/>
      <c r="EU1" s="45" t="n"/>
      <c r="EV1" s="45" t="n"/>
      <c r="EW1" s="45" t="n"/>
      <c r="EX1" s="45" t="n"/>
      <c r="EY1" s="45" t="n"/>
      <c r="EZ1" s="45" t="n"/>
      <c r="FA1" s="45" t="n"/>
      <c r="FB1" s="45" t="n"/>
      <c r="FC1" s="45" t="n"/>
      <c r="FD1" s="45" t="n"/>
      <c r="FE1" s="45" t="n"/>
      <c r="FF1" s="45" t="n"/>
      <c r="FG1" s="45" t="n"/>
      <c r="FH1" s="45" t="n"/>
      <c r="FI1" s="45" t="n"/>
      <c r="FJ1" s="45" t="n"/>
      <c r="FK1" s="45" t="n"/>
      <c r="FL1" s="45" t="n"/>
      <c r="FM1" s="45" t="n"/>
      <c r="FN1" s="45" t="n"/>
      <c r="FO1" s="45" t="n"/>
      <c r="FP1" s="45" t="n"/>
      <c r="FQ1" s="45" t="n"/>
      <c r="FR1" s="45" t="n"/>
      <c r="FS1" s="45" t="n"/>
      <c r="FT1" s="45" t="n"/>
      <c r="FU1" s="45" t="n"/>
      <c r="FV1" s="45" t="n"/>
      <c r="FW1" s="45" t="n"/>
      <c r="FX1" s="45" t="n"/>
      <c r="FY1" s="45" t="n"/>
      <c r="FZ1" s="45" t="n"/>
      <c r="GA1" s="45" t="n"/>
      <c r="GB1" s="45" t="n"/>
      <c r="GC1" s="45" t="n"/>
      <c r="GD1" s="45" t="n"/>
      <c r="GE1" s="45" t="n"/>
      <c r="GF1" s="45" t="n"/>
      <c r="GG1" s="45" t="n"/>
      <c r="GH1" s="45" t="n"/>
      <c r="GI1" s="45" t="n"/>
      <c r="GJ1" s="45" t="n"/>
      <c r="GK1" s="45" t="n"/>
      <c r="GL1" s="45" t="n"/>
      <c r="GM1" s="45" t="n"/>
      <c r="GN1" s="45" t="n"/>
      <c r="GO1" s="45" t="n"/>
      <c r="GP1" s="45" t="n"/>
      <c r="GQ1" s="45" t="n"/>
      <c r="GR1" s="45" t="n"/>
      <c r="GS1" s="45" t="n"/>
      <c r="GT1" s="45" t="n"/>
      <c r="GU1" s="45" t="n"/>
      <c r="GV1" s="45" t="n"/>
      <c r="GW1" s="45" t="n"/>
      <c r="GX1" s="45" t="n"/>
      <c r="GY1" s="45" t="n"/>
      <c r="GZ1" s="45" t="n"/>
      <c r="HA1" s="45" t="n"/>
      <c r="HB1" s="45" t="n"/>
      <c r="HC1" s="45" t="n"/>
      <c r="HD1" s="45" t="n"/>
      <c r="HE1" s="45" t="n"/>
      <c r="HF1" s="45" t="n"/>
      <c r="HG1" s="45" t="n"/>
      <c r="HH1" s="45" t="n"/>
      <c r="HI1" s="45" t="n"/>
      <c r="HJ1" s="45" t="n"/>
      <c r="HK1" s="45" t="n"/>
      <c r="HL1" s="45" t="n"/>
      <c r="HM1" s="45" t="n"/>
      <c r="HN1" s="45" t="n"/>
      <c r="HO1" s="45" t="n"/>
      <c r="HP1" s="45" t="n"/>
      <c r="HQ1" s="45" t="n"/>
      <c r="HR1" s="45" t="n"/>
      <c r="HS1" s="45" t="n"/>
      <c r="HT1" s="45" t="n"/>
      <c r="HU1" s="45" t="n"/>
      <c r="HV1" s="45" t="n"/>
      <c r="HW1" s="45" t="n"/>
      <c r="HX1" s="45" t="n"/>
      <c r="HY1" s="45" t="n"/>
      <c r="HZ1" s="45" t="n"/>
      <c r="IA1" s="45" t="n"/>
      <c r="IB1" s="45" t="n"/>
      <c r="IC1" s="45" t="n"/>
      <c r="ID1" s="45" t="n"/>
      <c r="IE1" s="45" t="n"/>
      <c r="IF1" s="45" t="n"/>
      <c r="IG1" s="45" t="n"/>
      <c r="IH1" s="45" t="n"/>
      <c r="II1" s="45" t="n"/>
      <c r="IJ1" s="45" t="n"/>
      <c r="IK1" s="45" t="n"/>
      <c r="IL1" s="45" t="n"/>
      <c r="IM1" s="45" t="n"/>
      <c r="IN1" s="45" t="n"/>
      <c r="IO1" s="45" t="n"/>
      <c r="IP1" s="45" t="n"/>
      <c r="IQ1" s="45" t="n"/>
      <c r="IR1" s="45" t="n"/>
      <c r="IS1" s="45" t="n"/>
      <c r="IT1" s="45" t="n"/>
      <c r="IU1" s="45" t="n"/>
      <c r="IV1" s="45" t="n"/>
      <c r="IW1" s="45" t="n"/>
      <c r="IX1" s="45" t="n"/>
      <c r="IY1" s="45" t="n"/>
      <c r="IZ1" s="45" t="n"/>
      <c r="JA1" s="45" t="n"/>
      <c r="JB1" s="45" t="n"/>
      <c r="JC1" s="45" t="n"/>
      <c r="JD1" s="45" t="n"/>
      <c r="JE1" s="45" t="n"/>
      <c r="JF1" s="45" t="n"/>
      <c r="JG1" s="45" t="n"/>
      <c r="JH1" s="45" t="n"/>
      <c r="JI1" s="45" t="n"/>
      <c r="JJ1" s="45" t="n"/>
      <c r="JK1" s="45" t="n"/>
      <c r="JL1" s="45" t="n"/>
      <c r="JM1" s="45" t="n"/>
      <c r="JN1" s="45" t="n"/>
      <c r="JO1" s="45" t="n"/>
      <c r="JP1" s="45" t="n"/>
      <c r="JQ1" s="45" t="n"/>
      <c r="JR1" s="45" t="n"/>
      <c r="JS1" s="45" t="n"/>
      <c r="JT1" s="45" t="n"/>
      <c r="JU1" s="45" t="n"/>
      <c r="JV1" s="45" t="n"/>
      <c r="JW1" s="45" t="n"/>
      <c r="JX1" s="45" t="n"/>
      <c r="JY1" s="45" t="n"/>
      <c r="JZ1" s="45" t="n"/>
      <c r="KA1" s="45" t="n"/>
      <c r="KB1" s="45" t="n"/>
      <c r="KC1" s="45" t="n"/>
      <c r="KD1" s="45" t="n"/>
      <c r="KE1" s="45" t="n"/>
      <c r="KF1" s="45" t="n"/>
      <c r="KG1" s="45" t="n"/>
      <c r="KH1" s="45" t="n"/>
      <c r="KI1" s="45" t="n"/>
      <c r="KJ1" s="45" t="n"/>
      <c r="KK1" s="45" t="n"/>
      <c r="KL1" s="45" t="n"/>
      <c r="KM1" s="45" t="n"/>
      <c r="KN1" s="45" t="n"/>
      <c r="KO1" s="45" t="n"/>
      <c r="KP1" s="45" t="n"/>
      <c r="KQ1" s="45" t="n"/>
      <c r="KR1" s="45" t="n"/>
      <c r="KS1" s="45" t="n"/>
      <c r="KT1" s="45" t="n"/>
      <c r="KU1" s="45" t="n"/>
      <c r="KV1" s="45" t="n"/>
      <c r="KW1" s="45" t="n"/>
      <c r="KX1" s="45" t="n"/>
      <c r="KY1" s="45" t="n"/>
      <c r="KZ1" s="45" t="n"/>
      <c r="LA1" s="45" t="n"/>
      <c r="LB1" s="45" t="n"/>
      <c r="LC1" s="45" t="n"/>
      <c r="LD1" s="45" t="n"/>
      <c r="LE1" s="45" t="n"/>
      <c r="LF1" s="45" t="n"/>
      <c r="LG1" s="45" t="n"/>
      <c r="LH1" s="45" t="n"/>
      <c r="LI1" s="45" t="n"/>
      <c r="LJ1" s="45" t="n"/>
      <c r="LK1" s="45" t="n"/>
      <c r="LL1" s="45" t="n"/>
      <c r="LM1" s="45" t="n"/>
      <c r="LN1" s="45" t="n"/>
      <c r="LO1" s="45" t="n"/>
      <c r="LP1" s="45" t="n"/>
      <c r="LQ1" s="45" t="n"/>
      <c r="LR1" s="45" t="n"/>
      <c r="LS1" s="45" t="n"/>
      <c r="LT1" s="45" t="n"/>
      <c r="LU1" s="45" t="n"/>
      <c r="LV1" s="45" t="n"/>
      <c r="LW1" s="45" t="n"/>
      <c r="LX1" s="45" t="n"/>
      <c r="LY1" s="45" t="n"/>
      <c r="LZ1" s="45" t="n"/>
      <c r="MA1" s="45" t="n"/>
      <c r="MB1" s="45" t="n"/>
      <c r="MC1" s="45" t="n"/>
      <c r="MD1" s="45" t="n"/>
      <c r="ME1" s="45" t="n"/>
      <c r="MF1" s="45" t="n"/>
      <c r="MG1" s="45" t="n"/>
      <c r="MH1" s="45" t="n"/>
      <c r="MI1" s="45" t="n"/>
      <c r="MJ1" s="45" t="n"/>
      <c r="MK1" s="45" t="n"/>
      <c r="ML1" s="45" t="n"/>
      <c r="MM1" s="45" t="n"/>
      <c r="MN1" s="45" t="n"/>
      <c r="MO1" s="45" t="n"/>
      <c r="MP1" s="45" t="n"/>
      <c r="MQ1" s="45" t="n"/>
      <c r="MR1" s="45" t="n"/>
      <c r="MS1" s="45" t="n"/>
      <c r="MT1" s="45" t="n"/>
      <c r="MU1" s="45" t="n"/>
      <c r="MV1" s="45" t="n"/>
      <c r="MW1" s="45" t="n"/>
      <c r="MX1" s="45" t="n"/>
      <c r="MY1" s="45" t="n"/>
      <c r="MZ1" s="45" t="n"/>
      <c r="NA1" s="45" t="n"/>
      <c r="NB1" s="45" t="n"/>
      <c r="NC1" s="45" t="n"/>
      <c r="ND1" s="45" t="n"/>
      <c r="NE1" s="45" t="n"/>
      <c r="NF1" s="45" t="n"/>
      <c r="NG1" s="45" t="n"/>
      <c r="NH1" s="45" t="n"/>
      <c r="NI1" s="45" t="n"/>
      <c r="NJ1" s="45" t="n"/>
      <c r="NK1" s="45" t="n"/>
      <c r="NL1" s="45" t="n"/>
      <c r="NM1" s="45" t="n"/>
      <c r="NN1" s="45" t="n"/>
      <c r="NO1" s="45" t="n"/>
      <c r="NP1" s="45" t="n"/>
      <c r="NQ1" s="45" t="n"/>
      <c r="NR1" s="45" t="n"/>
      <c r="NS1" s="45" t="n"/>
      <c r="NT1" s="45" t="n"/>
      <c r="NU1" s="45" t="n"/>
      <c r="NV1" s="45" t="n"/>
      <c r="NW1" s="45" t="n"/>
      <c r="NX1" s="45" t="n"/>
      <c r="NY1" s="45" t="n"/>
      <c r="NZ1" s="45" t="n"/>
      <c r="OA1" s="45" t="n"/>
      <c r="OB1" s="45" t="n"/>
      <c r="OC1" s="45" t="n"/>
      <c r="OD1" s="45" t="n"/>
      <c r="OE1" s="45" t="n"/>
      <c r="OF1" s="45" t="n"/>
      <c r="OG1" s="45" t="n"/>
      <c r="OH1" s="45" t="n"/>
      <c r="OI1" s="45" t="n"/>
      <c r="OJ1" s="45" t="n"/>
      <c r="OK1" s="45" t="n"/>
      <c r="OL1" s="45" t="n"/>
      <c r="OM1" s="45" t="n"/>
      <c r="ON1" s="45" t="n"/>
      <c r="OO1" s="45" t="n"/>
      <c r="OP1" s="45" t="n"/>
      <c r="OQ1" s="45" t="n"/>
      <c r="OR1" s="45" t="n"/>
      <c r="OS1" s="45" t="n"/>
      <c r="OT1" s="45" t="n"/>
      <c r="OU1" s="45" t="n"/>
      <c r="OV1" s="45" t="n"/>
      <c r="OW1" s="45" t="n"/>
      <c r="OX1" s="45" t="n"/>
      <c r="OY1" s="45" t="n"/>
      <c r="OZ1" s="45" t="n"/>
      <c r="PA1" s="45" t="n"/>
      <c r="PB1" s="45" t="n"/>
      <c r="PC1" s="45" t="n"/>
      <c r="PD1" s="45" t="n"/>
      <c r="PE1" s="45" t="n"/>
      <c r="PF1" s="45" t="n"/>
      <c r="PG1" s="45" t="n"/>
      <c r="PH1" s="45" t="n"/>
      <c r="PI1" s="45" t="n"/>
      <c r="PJ1" s="45" t="n"/>
      <c r="PK1" s="45" t="n"/>
      <c r="PL1" s="45" t="n"/>
      <c r="PM1" s="45" t="n"/>
      <c r="PN1" s="45" t="n"/>
      <c r="PO1" s="45" t="n"/>
      <c r="PP1" s="45" t="n"/>
      <c r="PQ1" s="45" t="n"/>
      <c r="PR1" s="45" t="n"/>
      <c r="PS1" s="45" t="n"/>
      <c r="PT1" s="45" t="n"/>
      <c r="PU1" s="45" t="n"/>
      <c r="PV1" s="45" t="n"/>
      <c r="PW1" s="45" t="n"/>
      <c r="PX1" s="45" t="n"/>
      <c r="PY1" s="45" t="n"/>
    </row>
    <row r="2" ht="46.5" customHeight="1">
      <c r="A2" t="inlineStr">
        <is>
          <t>TC_001</t>
        </is>
      </c>
      <c r="B2" t="inlineStr">
        <is>
          <t>REQ_001</t>
        </is>
      </c>
      <c r="C2" t="inlineStr">
        <is>
          <t>Verify Successful Login with Valid Credentials</t>
        </is>
      </c>
      <c r="D2" t="inlineStr">
        <is>
          <t>Preconditions: User must have an active registered account. Verify that a user can successfully log in using valid credentials.</t>
        </is>
      </c>
      <c r="E2" t="inlineStr">
        <is>
          <t>1. Navigate to the Login page URL.</t>
        </is>
      </c>
      <c r="F2" t="inlineStr">
        <is>
          <t>URL: https://example.com/login</t>
        </is>
      </c>
      <c r="G2" t="inlineStr">
        <is>
          <t>Login page is displayed with Username and Password fields.</t>
        </is>
      </c>
      <c r="H2" t="inlineStr">
        <is>
          <t>Not Executed</t>
        </is>
      </c>
      <c r="I2" t="inlineStr">
        <is>
          <t>High</t>
        </is>
      </c>
      <c r="J2" t="inlineStr">
        <is>
          <t>Blocker</t>
        </is>
      </c>
      <c r="K2" t="inlineStr"/>
      <c r="L2" t="inlineStr"/>
      <c r="M2" t="inlineStr"/>
    </row>
    <row r="3" ht="15.5" customFormat="1" customHeight="1" s="3">
      <c r="E3" t="inlineStr">
        <is>
          <t>2. Enter a valid registered username.</t>
        </is>
      </c>
      <c r="F3" t="inlineStr">
        <is>
          <t>Username: valid_user@example.com</t>
        </is>
      </c>
      <c r="G3" t="inlineStr">
        <is>
          <t>Username field accepts the input.</t>
        </is>
      </c>
    </row>
    <row r="4" ht="15.5" customFormat="1" customHeight="1" s="3">
      <c r="E4" t="inlineStr">
        <is>
          <t>3. Enter the correct password corresponding to the username.</t>
        </is>
      </c>
      <c r="F4" t="inlineStr">
        <is>
          <t>Password: Password123!</t>
        </is>
      </c>
      <c r="G4" t="inlineStr">
        <is>
          <t>Password field accepts the input and displays masked characters.</t>
        </is>
      </c>
    </row>
    <row r="5" ht="15.5" customFormat="1" customHeight="1" s="3">
      <c r="E5" t="inlineStr">
        <is>
          <t>4. Click on the 'Login' button.</t>
        </is>
      </c>
      <c r="F5" t="inlineStr">
        <is>
          <t>N/A</t>
        </is>
      </c>
      <c r="G5" t="inlineStr">
        <is>
          <t>User is successfully authenticated and redirected to the user dashboard.</t>
        </is>
      </c>
    </row>
    <row r="6" ht="15.5" customFormat="1" customHeight="1" s="3">
      <c r="E6" t="inlineStr"/>
      <c r="F6" t="inlineStr"/>
      <c r="G6" t="inlineStr"/>
    </row>
    <row r="7" ht="46.5" customFormat="1" customHeight="1" s="16">
      <c r="A7" t="inlineStr">
        <is>
          <t>TC_002</t>
        </is>
      </c>
      <c r="B7" t="inlineStr">
        <is>
          <t>REQ_001</t>
        </is>
      </c>
      <c r="C7" t="inlineStr">
        <is>
          <t>Verify Login Fails with Incorrect Password</t>
        </is>
      </c>
      <c r="D7" t="inlineStr">
        <is>
          <t>Preconditions: User account exists. Verify that system prevents authentication when an incorrect password is supplied.</t>
        </is>
      </c>
      <c r="E7" t="inlineStr">
        <is>
          <t>1. Navigate to the Login page URL.</t>
        </is>
      </c>
      <c r="F7" t="inlineStr">
        <is>
          <t>URL: https://example.com/login</t>
        </is>
      </c>
      <c r="G7" t="inlineStr">
        <is>
          <t>Login page renders completely.</t>
        </is>
      </c>
      <c r="H7" t="inlineStr">
        <is>
          <t>Not Executed</t>
        </is>
      </c>
      <c r="I7" t="inlineStr">
        <is>
          <t>High</t>
        </is>
      </c>
      <c r="J7" t="inlineStr">
        <is>
          <t>Critical</t>
        </is>
      </c>
      <c r="K7" t="inlineStr"/>
      <c r="L7" t="inlineStr"/>
      <c r="M7" t="inlineStr"/>
    </row>
    <row r="8" ht="15.5" customFormat="1" customHeight="1" s="16">
      <c r="E8" t="inlineStr">
        <is>
          <t>2. Enter a valid registered username.</t>
        </is>
      </c>
      <c r="F8" t="inlineStr">
        <is>
          <t>Username: valid_user@example.com</t>
        </is>
      </c>
      <c r="G8" t="inlineStr">
        <is>
          <t>Username is populated.</t>
        </is>
      </c>
    </row>
    <row r="9" ht="15.5" customFormat="1" customHeight="1" s="16">
      <c r="E9" t="inlineStr">
        <is>
          <t>3. Enter an incorrect password.</t>
        </is>
      </c>
      <c r="F9" t="inlineStr">
        <is>
          <t>Password: WrongPassword999</t>
        </is>
      </c>
      <c r="G9" t="inlineStr">
        <is>
          <t>Password field accepts the input.</t>
        </is>
      </c>
    </row>
    <row r="10" ht="15.5" customFormat="1" customHeight="1" s="16">
      <c r="E10" t="inlineStr">
        <is>
          <t>4. Click on the 'Login' button.</t>
        </is>
      </c>
      <c r="F10" t="inlineStr">
        <is>
          <t>N/A</t>
        </is>
      </c>
      <c r="G10" t="inlineStr">
        <is>
          <t>Login fails and an inline error message 'Invalid username or password' is displayed.</t>
        </is>
      </c>
    </row>
    <row r="11" ht="15.5" customFormat="1" customHeight="1" s="16">
      <c r="E11" t="inlineStr"/>
      <c r="F11" t="inlineStr"/>
      <c r="G11" t="inlineStr"/>
    </row>
    <row r="12" ht="46.5" customHeight="1">
      <c r="A12" t="inlineStr">
        <is>
          <t>TC_003</t>
        </is>
      </c>
      <c r="B12" t="inlineStr">
        <is>
          <t>REQ_001</t>
        </is>
      </c>
      <c r="C12" t="inlineStr">
        <is>
          <t>Verify Form Validation for Blank Input Fields</t>
        </is>
      </c>
      <c r="D12" t="inlineStr">
        <is>
          <t>Preconditions: Login page loaded. Verify that submitting empty credentials triggers client-side or server-side field validation.</t>
        </is>
      </c>
      <c r="E12" t="inlineStr">
        <is>
          <t>1. Navigate to the Login page URL.</t>
        </is>
      </c>
      <c r="F12" t="inlineStr">
        <is>
          <t>URL: https://example.com/login</t>
        </is>
      </c>
      <c r="G12" t="inlineStr">
        <is>
          <t>Login form is visible with empty fields.</t>
        </is>
      </c>
      <c r="H12" t="inlineStr">
        <is>
          <t>Not Executed</t>
        </is>
      </c>
      <c r="I12" t="inlineStr">
        <is>
          <t>Medium</t>
        </is>
      </c>
      <c r="J12" t="inlineStr">
        <is>
          <t>Major</t>
        </is>
      </c>
      <c r="K12" t="inlineStr"/>
      <c r="L12" t="inlineStr"/>
      <c r="M12" t="inlineStr"/>
    </row>
    <row r="13" ht="15.5" customFormat="1" customHeight="1" s="3">
      <c r="E13" t="inlineStr">
        <is>
          <t>2. Leave Username field empty.</t>
        </is>
      </c>
      <c r="F13" t="inlineStr">
        <is>
          <t>Username: ''</t>
        </is>
      </c>
      <c r="G13" t="inlineStr">
        <is>
          <t>Username field remains blank.</t>
        </is>
      </c>
    </row>
    <row r="14" ht="15.5" customFormat="1" customHeight="1" s="3">
      <c r="E14" t="inlineStr">
        <is>
          <t>3. Leave Password field empty.</t>
        </is>
      </c>
      <c r="F14" t="inlineStr">
        <is>
          <t>Password: ''</t>
        </is>
      </c>
      <c r="G14" t="inlineStr">
        <is>
          <t>Password field remains blank.</t>
        </is>
      </c>
    </row>
    <row r="15" ht="15.5" customFormat="1" customHeight="1" s="3">
      <c r="E15" t="inlineStr">
        <is>
          <t>4. Click on the 'Login' button.</t>
        </is>
      </c>
      <c r="F15" t="inlineStr">
        <is>
          <t>N/A</t>
        </is>
      </c>
      <c r="G15" t="inlineStr">
        <is>
          <t>Login request is not submitted and validation messages 'Username is required' and 'Password is required' appear.</t>
        </is>
      </c>
    </row>
    <row r="16" ht="15.5" customFormat="1" customHeight="1" s="3">
      <c r="E16" t="inlineStr"/>
      <c r="F16" t="inlineStr"/>
      <c r="G16" t="inlineStr"/>
    </row>
    <row r="17" ht="46.5" customFormat="1" customHeight="1" s="16">
      <c r="A17" t="inlineStr">
        <is>
          <t>TC_004</t>
        </is>
      </c>
      <c r="B17" t="inlineStr">
        <is>
          <t>REQ_001</t>
        </is>
      </c>
      <c r="C17" t="inlineStr">
        <is>
          <t>Verify Password Field Maximum Length Boundary Limit</t>
        </is>
      </c>
      <c r="D17" t="inlineStr">
        <is>
          <t>Preconditions: Login page loaded. Test input boundary limits for password field configured for maximum 128 characters.</t>
        </is>
      </c>
      <c r="E17" t="inlineStr">
        <is>
          <t>1. Navigate to the Login page URL.</t>
        </is>
      </c>
      <c r="F17" t="inlineStr">
        <is>
          <t>URL: https://example.com/login</t>
        </is>
      </c>
      <c r="G17" t="inlineStr">
        <is>
          <t>Login page is loaded.</t>
        </is>
      </c>
      <c r="H17" t="inlineStr">
        <is>
          <t>Not Executed</t>
        </is>
      </c>
      <c r="I17" t="inlineStr">
        <is>
          <t>Medium</t>
        </is>
      </c>
      <c r="J17" t="inlineStr">
        <is>
          <t>Minor</t>
        </is>
      </c>
      <c r="K17" t="inlineStr"/>
      <c r="L17" t="inlineStr"/>
      <c r="M17" t="inlineStr"/>
    </row>
    <row r="18" ht="15.5" customFormat="1" customHeight="1" s="16">
      <c r="E18" t="inlineStr">
        <is>
          <t>2. Enter a valid registered username.</t>
        </is>
      </c>
      <c r="F18" t="inlineStr">
        <is>
          <t>Username: valid_user@example.com</t>
        </is>
      </c>
      <c r="G18" t="inlineStr">
        <is>
          <t>Username input accepted.</t>
        </is>
      </c>
    </row>
    <row r="19" ht="15.5" customFormat="1" customHeight="1" s="16">
      <c r="E19" t="inlineStr">
        <is>
          <t>3. Enter a string of 129 characters into the password field.</t>
        </is>
      </c>
      <c r="F19" t="inlineStr">
        <is>
          <t>Password: 129-character string (e.g., A*129)</t>
        </is>
      </c>
      <c r="G19" t="inlineStr">
        <is>
          <t>Password field restricts input to a maximum length of 128 characters or truncates the 129th character.</t>
        </is>
      </c>
    </row>
    <row r="20" ht="15.5" customFormat="1" customHeight="1" s="16">
      <c r="E20" t="inlineStr">
        <is>
          <t>4. Click on the 'Login' button.</t>
        </is>
      </c>
      <c r="F20" t="inlineStr">
        <is>
          <t>N/A</t>
        </is>
      </c>
      <c r="G20" t="inlineStr">
        <is>
          <t>System handles the truncated/boundary input gracefully without crashing or throwing unhandled server errors.</t>
        </is>
      </c>
    </row>
    <row r="21" ht="15.5" customFormat="1" customHeight="1" s="16">
      <c r="E21" t="inlineStr"/>
      <c r="F21" t="inlineStr"/>
      <c r="G21" t="inlineStr"/>
    </row>
    <row r="22" ht="46.5" customHeight="1">
      <c r="A22" t="inlineStr">
        <is>
          <t>TC_005</t>
        </is>
      </c>
      <c r="B22" t="inlineStr">
        <is>
          <t>REQ_001</t>
        </is>
      </c>
      <c r="C22" t="inlineStr">
        <is>
          <t>Verify Account Lockout After Multiple Consecutive Failed Login Attempts</t>
        </is>
      </c>
      <c r="D22" t="inlineStr">
        <is>
          <t>Preconditions: User account is active and system threshold is set to lock account after 5 failed login attempts.</t>
        </is>
      </c>
      <c r="E22" t="inlineStr">
        <is>
          <t>1. Navigate to the Login page URL.</t>
        </is>
      </c>
      <c r="F22" t="inlineStr">
        <is>
          <t>URL: https://example.com/login</t>
        </is>
      </c>
      <c r="G22" t="inlineStr">
        <is>
          <t>Login page is available.</t>
        </is>
      </c>
      <c r="H22" t="inlineStr">
        <is>
          <t>Not Executed</t>
        </is>
      </c>
      <c r="I22" t="inlineStr">
        <is>
          <t>High</t>
        </is>
      </c>
      <c r="J22" t="inlineStr">
        <is>
          <t>Critical</t>
        </is>
      </c>
      <c r="K22" t="inlineStr"/>
      <c r="L22" t="inlineStr"/>
      <c r="M22" t="inlineStr"/>
    </row>
    <row r="23" ht="15.5" customFormat="1" customHeight="1" s="3">
      <c r="E23" t="inlineStr">
        <is>
          <t>2. Enter valid username and wrong password 5 consecutive times.</t>
        </is>
      </c>
      <c r="F23" t="inlineStr">
        <is>
          <t>Username: valid_user@example.com, Password: WrongPassword1</t>
        </is>
      </c>
      <c r="G23" t="inlineStr">
        <is>
          <t>Each attempt fails showing invalid credentials error.</t>
        </is>
      </c>
    </row>
    <row r="24" ht="15.5" customFormat="1" customHeight="1" s="3">
      <c r="E24" t="inlineStr">
        <is>
          <t>3. Perform the 6th login attempt with correct password.</t>
        </is>
      </c>
      <c r="F24" t="inlineStr">
        <is>
          <t>Username: valid_user@example.com, Password: Password123!</t>
        </is>
      </c>
      <c r="G24" t="inlineStr">
        <is>
          <t>Login attempt is rejected.</t>
        </is>
      </c>
    </row>
    <row r="25" ht="15.5" customFormat="1" customHeight="1" s="3">
      <c r="E25" t="inlineStr">
        <is>
          <t>4. Verify the displayed error message.</t>
        </is>
      </c>
      <c r="F25" t="inlineStr">
        <is>
          <t>N/A</t>
        </is>
      </c>
      <c r="G25" t="inlineStr">
        <is>
          <t>System displays account lockout warning: 'Your account has been locked due to multiple failed login attempts. Please reset your password or try again later.'</t>
        </is>
      </c>
    </row>
    <row r="26" ht="15.5" customFormat="1" customHeight="1" s="3">
      <c r="E26" t="inlineStr"/>
      <c r="F26" t="inlineStr"/>
      <c r="G26" t="inlineStr"/>
    </row>
    <row r="27" ht="15.5" customFormat="1" customHeight="1" s="16"/>
    <row r="28" ht="15.5" customFormat="1" customHeight="1" s="16"/>
    <row r="29" ht="15.5" customFormat="1" customHeight="1" s="16"/>
    <row r="30" ht="15.5" customFormat="1" customHeight="1" s="16"/>
    <row r="31" ht="15.5" customFormat="1" customHeight="1" s="16"/>
    <row r="32" ht="15.5" customHeight="1"/>
    <row r="33" ht="15.5" customFormat="1" customHeight="1" s="3"/>
    <row r="34" ht="15.5" customFormat="1" customHeight="1" s="3"/>
    <row r="35" ht="15.5" customFormat="1" customHeight="1" s="3"/>
    <row r="36" ht="15.5" customFormat="1" customHeight="1" s="3"/>
    <row r="37" ht="15.5" customFormat="1" customHeight="1" s="16"/>
    <row r="38" ht="15.5" customFormat="1" customHeight="1" s="16"/>
    <row r="39" ht="15.5" customFormat="1" customHeight="1" s="16"/>
    <row r="40" ht="15.5" customFormat="1" customHeight="1" s="16"/>
    <row r="41" ht="15.5" customFormat="1" customHeight="1" s="16"/>
    <row r="42" ht="15.5" customHeight="1"/>
    <row r="43" ht="15.5" customFormat="1" customHeight="1" s="3"/>
    <row r="44" ht="15.5" customFormat="1" customHeight="1" s="3"/>
    <row r="45" ht="15.5" customFormat="1" customHeight="1" s="3"/>
    <row r="46" ht="15.5" customFormat="1" customHeight="1" s="3"/>
    <row r="47" ht="15.5" customFormat="1" customHeight="1" s="16"/>
    <row r="48" ht="15.5" customFormat="1" customHeight="1" s="16"/>
    <row r="49" ht="15.5" customFormat="1" customHeight="1" s="16"/>
    <row r="50" ht="15.5" customFormat="1" customHeight="1" s="16"/>
    <row r="51" ht="15.5" customFormat="1" customHeight="1" s="16"/>
    <row r="52" ht="15.5" customHeight="1"/>
    <row r="53" ht="15.5" customFormat="1" customHeight="1" s="3"/>
    <row r="54" ht="15.5" customFormat="1" customHeight="1" s="3"/>
    <row r="55" ht="15.5" customFormat="1" customHeight="1" s="3"/>
    <row r="56" ht="15.5" customFormat="1" customHeight="1" s="3"/>
    <row r="57" ht="15.5" customHeight="1"/>
    <row r="58" ht="15.5" customFormat="1" customHeight="1" s="3"/>
    <row r="59" ht="15.5" customFormat="1" customHeight="1" s="3"/>
    <row r="60" ht="15.5" customFormat="1" customHeight="1" s="3"/>
    <row r="61" ht="15.5" customFormat="1" customHeight="1" s="3"/>
    <row r="62" ht="15.5" customFormat="1" customHeight="1" s="16"/>
    <row r="63" ht="15.5" customFormat="1" customHeight="1" s="16"/>
    <row r="64" ht="15.5" customFormat="1" customHeight="1" s="16"/>
    <row r="65" ht="15.5" customFormat="1" customHeight="1" s="16"/>
    <row r="66" ht="15.5" customFormat="1" customHeight="1" s="16"/>
    <row r="67" ht="15.5" customHeight="1"/>
    <row r="68" ht="15.5" customFormat="1" customHeight="1" s="3"/>
    <row r="69" ht="15.5" customFormat="1" customHeight="1" s="3"/>
    <row r="70" ht="15.5" customFormat="1" customHeight="1" s="3"/>
    <row r="71" ht="15.5" customFormat="1" customHeight="1" s="3"/>
    <row r="72" ht="15.5" customFormat="1" customHeight="1" s="16"/>
    <row r="73" ht="15.5" customFormat="1" customHeight="1" s="16"/>
    <row r="74" ht="15.5" customFormat="1" customHeight="1" s="16"/>
    <row r="75" ht="15.5" customFormat="1" customHeight="1" s="16"/>
    <row r="76" ht="15.5" customFormat="1" customHeight="1" s="16"/>
    <row r="77" ht="15.5" customHeight="1"/>
    <row r="78" ht="15.5" customFormat="1" customHeight="1" s="3"/>
    <row r="79" ht="15.5" customFormat="1" customHeight="1" s="3"/>
    <row r="80" ht="15.5" customFormat="1" customHeight="1" s="3"/>
    <row r="81" ht="15.5" customFormat="1" customHeight="1" s="3"/>
    <row r="82" ht="15.5" customFormat="1" customHeight="1" s="16"/>
    <row r="83" ht="15.5" customFormat="1" customHeight="1" s="16"/>
    <row r="84" ht="15.5" customFormat="1" customHeight="1" s="16"/>
    <row r="85" ht="15.5" customFormat="1" customHeight="1" s="16"/>
    <row r="86" ht="15.5" customFormat="1" customHeight="1" s="16"/>
    <row r="87" ht="15.5" customHeight="1"/>
    <row r="88" ht="15.5" customFormat="1" customHeight="1" s="3"/>
    <row r="89" ht="15.5" customFormat="1" customHeight="1" s="3"/>
    <row r="90" ht="15.5" customFormat="1" customHeight="1" s="3"/>
    <row r="91" ht="15.5" customFormat="1" customHeight="1" s="3"/>
    <row r="92" ht="15.5" customFormat="1" customHeight="1" s="16"/>
    <row r="93" ht="15.5" customFormat="1" customHeight="1" s="16"/>
    <row r="94" ht="15.5" customFormat="1" customHeight="1" s="16"/>
    <row r="95" ht="15.5" customFormat="1" customHeight="1" s="16"/>
    <row r="96" ht="15.5" customFormat="1" customHeight="1" s="16"/>
    <row r="97" ht="15.5" customHeight="1"/>
    <row r="98" ht="15.5" customFormat="1" customHeight="1" s="3"/>
    <row r="99" ht="15.5" customFormat="1" customHeight="1" s="3"/>
    <row r="100" ht="15.5" customFormat="1" customHeight="1" s="3"/>
    <row r="101" ht="15.5" customFormat="1" customHeight="1" s="3"/>
    <row r="102" ht="15.5" customFormat="1" customHeight="1" s="16"/>
    <row r="103" ht="15.5" customFormat="1" customHeight="1" s="16"/>
    <row r="104" ht="15.5" customFormat="1" customHeight="1" s="16"/>
    <row r="105" ht="15.5" customFormat="1" customHeight="1" s="16"/>
    <row r="106" ht="15.5" customFormat="1" customHeight="1" s="16"/>
    <row r="107" ht="15.5" customHeight="1"/>
    <row r="108" ht="15.5" customFormat="1" customHeight="1" s="3"/>
    <row r="109" ht="15.5" customFormat="1" customHeight="1" s="3"/>
    <row r="110" ht="15.5" customFormat="1" customHeight="1" s="3"/>
    <row r="111" ht="15.5" customFormat="1" customHeight="1" s="3"/>
    <row r="112" ht="15.5" customFormat="1" customHeight="1" s="16"/>
    <row r="113" ht="15.5" customFormat="1" customHeight="1" s="16"/>
    <row r="114" ht="15.5" customFormat="1" customHeight="1" s="16"/>
    <row r="115" ht="15.5" customFormat="1" customHeight="1" s="16"/>
    <row r="116" ht="15.5" customFormat="1" customHeight="1" s="16"/>
    <row r="117" customFormat="1" s="16"/>
    <row r="118" customFormat="1" s="16"/>
    <row r="119" customFormat="1" s="16"/>
    <row r="120" customFormat="1" s="16"/>
    <row r="121" customFormat="1" s="16"/>
    <row r="122" customFormat="1" s="16"/>
    <row r="123" customFormat="1" s="16"/>
    <row r="124" customFormat="1" s="16"/>
    <row r="125" customFormat="1" s="16"/>
    <row r="126" customFormat="1" s="16"/>
    <row r="127" customFormat="1" s="16"/>
    <row r="128" customFormat="1" s="16"/>
    <row r="129" customFormat="1" s="16"/>
    <row r="130" customFormat="1" s="16"/>
    <row r="131" customFormat="1" s="16"/>
    <row r="132" customFormat="1" s="16"/>
    <row r="133" customFormat="1" s="16"/>
    <row r="134" customFormat="1" s="16"/>
    <row r="135" customFormat="1" s="16"/>
    <row r="136" customFormat="1" s="16"/>
    <row r="137" customFormat="1" s="16"/>
    <row r="138" customFormat="1" s="16"/>
    <row r="139" customFormat="1" s="16"/>
    <row r="140" customFormat="1" s="16"/>
    <row r="141" customFormat="1" s="16"/>
    <row r="142" customFormat="1" s="16"/>
    <row r="143" customFormat="1" s="16"/>
    <row r="144" customFormat="1" s="16"/>
    <row r="145" customFormat="1" s="16"/>
    <row r="146" customFormat="1" s="16"/>
    <row r="147" customFormat="1" s="16"/>
    <row r="148" customFormat="1" s="16"/>
    <row r="149" customFormat="1" s="16"/>
    <row r="150" customFormat="1" s="16"/>
    <row r="151" customFormat="1" s="16"/>
    <row r="152" customFormat="1" s="16"/>
    <row r="153" customFormat="1" s="16"/>
    <row r="154" customFormat="1" s="16"/>
    <row r="155" customFormat="1" s="16"/>
    <row r="156" customFormat="1" s="16"/>
    <row r="157" customFormat="1" s="16"/>
    <row r="158" customFormat="1" s="16"/>
    <row r="159" customFormat="1" s="16"/>
    <row r="160" customFormat="1" s="16"/>
    <row r="161" customFormat="1" s="16"/>
    <row r="162" customFormat="1" s="16"/>
    <row r="163" customFormat="1" s="16"/>
    <row r="164" customFormat="1" s="16"/>
    <row r="165" customFormat="1" s="16"/>
    <row r="166" customFormat="1" s="16"/>
    <row r="167" customFormat="1" s="16"/>
    <row r="168" customFormat="1" s="16"/>
    <row r="169" customFormat="1" s="16"/>
    <row r="170" customFormat="1" s="16"/>
    <row r="171" customFormat="1" s="16"/>
    <row r="172" customFormat="1" s="16"/>
    <row r="173" customFormat="1" s="16"/>
    <row r="174" customFormat="1" s="16"/>
    <row r="175" customFormat="1" s="16"/>
    <row r="176" customFormat="1" s="16"/>
    <row r="177" customFormat="1" s="16"/>
    <row r="178" customFormat="1" s="16"/>
    <row r="179" customFormat="1" s="16"/>
    <row r="180" customFormat="1" s="16"/>
    <row r="181" customFormat="1" s="16"/>
    <row r="182" customFormat="1" s="16"/>
    <row r="183" customFormat="1" s="16"/>
    <row r="184" customFormat="1" s="16"/>
    <row r="185" customFormat="1" s="16"/>
    <row r="186" customFormat="1" s="16"/>
    <row r="187" customFormat="1" s="16"/>
    <row r="188" customFormat="1" s="16"/>
    <row r="189" customFormat="1" s="16"/>
    <row r="190" customFormat="1" s="16"/>
    <row r="191" customFormat="1" s="16"/>
    <row r="192" customFormat="1" s="16"/>
    <row r="193" customFormat="1" s="16"/>
    <row r="194" customFormat="1" s="16"/>
    <row r="195" customFormat="1" s="16"/>
    <row r="196" customFormat="1" s="16"/>
    <row r="197" customFormat="1" s="16"/>
    <row r="198" customFormat="1" s="16"/>
    <row r="199" customFormat="1" s="16"/>
    <row r="200" customFormat="1" s="16"/>
    <row r="201" customFormat="1" s="16"/>
    <row r="202" customFormat="1" s="16"/>
    <row r="203" customFormat="1" s="16"/>
    <row r="204" customFormat="1" s="16"/>
    <row r="205" customFormat="1" s="16"/>
    <row r="206" customFormat="1" s="16"/>
    <row r="207" customFormat="1" s="16"/>
    <row r="208" customFormat="1" s="16"/>
    <row r="209" customFormat="1" s="16"/>
    <row r="210" customFormat="1" s="16"/>
    <row r="211" customFormat="1" s="16"/>
    <row r="212" customFormat="1" s="16"/>
    <row r="213" customFormat="1" s="16"/>
    <row r="214" customFormat="1" s="16"/>
    <row r="215" customFormat="1" s="16"/>
    <row r="216" customFormat="1" s="16"/>
    <row r="217" customFormat="1" s="16"/>
    <row r="218" customFormat="1" s="16"/>
    <row r="219" customFormat="1" s="16"/>
    <row r="220" customFormat="1" s="16"/>
    <row r="221" customFormat="1" s="16"/>
    <row r="222" customFormat="1" s="16"/>
    <row r="223" customFormat="1" s="16"/>
    <row r="224" customFormat="1" s="16"/>
    <row r="225" customFormat="1" s="16"/>
    <row r="226" customFormat="1" s="16"/>
    <row r="227" customFormat="1" s="16"/>
    <row r="228" customFormat="1" s="16"/>
    <row r="229" customFormat="1" s="16"/>
    <row r="230" customFormat="1" s="16"/>
    <row r="231" customFormat="1" s="16"/>
    <row r="232" customFormat="1" s="16"/>
    <row r="233" customFormat="1" s="16"/>
    <row r="234" customFormat="1" s="16"/>
    <row r="235" customFormat="1" s="16"/>
    <row r="236" customFormat="1" s="16"/>
    <row r="237" customFormat="1" s="16"/>
    <row r="238" customFormat="1" s="16"/>
    <row r="239" customFormat="1" s="16"/>
    <row r="240" customFormat="1" s="16"/>
    <row r="241" customFormat="1" s="16"/>
    <row r="242" customFormat="1" s="16"/>
    <row r="243" customFormat="1" s="16"/>
    <row r="244" customFormat="1" s="16"/>
    <row r="245" customFormat="1" s="16"/>
    <row r="246" customFormat="1" s="16"/>
    <row r="247" customFormat="1" s="16"/>
    <row r="248" customFormat="1" s="16"/>
    <row r="249" customFormat="1" s="16"/>
    <row r="250" customFormat="1" s="16"/>
    <row r="251" customFormat="1" s="16"/>
    <row r="252" customFormat="1" s="16"/>
    <row r="253" customFormat="1" s="16"/>
    <row r="254" customFormat="1" s="16"/>
    <row r="255" customFormat="1" s="16"/>
    <row r="256" customFormat="1" s="16"/>
    <row r="257" customFormat="1" s="16"/>
    <row r="258" customFormat="1" s="16"/>
    <row r="259" customFormat="1" s="16"/>
    <row r="260" customFormat="1" s="16"/>
    <row r="261" customFormat="1" s="16"/>
    <row r="262" customFormat="1" s="16"/>
    <row r="263" customFormat="1" s="16"/>
    <row r="264" customFormat="1" s="16"/>
    <row r="265" customFormat="1" s="16"/>
    <row r="266" customFormat="1" s="16"/>
    <row r="267" customFormat="1" s="16"/>
    <row r="268" customFormat="1" s="16"/>
    <row r="269" customFormat="1" s="16"/>
    <row r="270" customFormat="1" s="16"/>
    <row r="271" customFormat="1" s="16"/>
    <row r="272" customFormat="1" s="16"/>
    <row r="273" customFormat="1" s="16"/>
    <row r="274" customFormat="1" s="16"/>
    <row r="275" customFormat="1" s="16"/>
    <row r="276" customFormat="1" s="16"/>
    <row r="277" customFormat="1" s="16"/>
    <row r="278" customFormat="1" s="16"/>
    <row r="279" customFormat="1" s="16"/>
    <row r="280" customFormat="1" s="16"/>
    <row r="281" customFormat="1" s="16"/>
    <row r="282" customFormat="1" s="16"/>
    <row r="283" customFormat="1" s="16"/>
    <row r="284" customFormat="1" s="16"/>
    <row r="285" customFormat="1" s="16"/>
    <row r="286" customFormat="1" s="16"/>
    <row r="287" customFormat="1" s="16"/>
    <row r="288" customFormat="1" s="16"/>
    <row r="289" customFormat="1" s="16"/>
    <row r="290" customFormat="1" s="16"/>
    <row r="291" customFormat="1" s="16"/>
    <row r="292" customFormat="1" s="16"/>
    <row r="293" customFormat="1" s="16"/>
    <row r="294" customFormat="1" s="16"/>
    <row r="295" customFormat="1" s="16"/>
    <row r="296" customFormat="1" s="16"/>
    <row r="297" customFormat="1" s="16"/>
    <row r="298" customFormat="1" s="16"/>
    <row r="299" customFormat="1" s="16"/>
    <row r="300" customFormat="1" s="16"/>
    <row r="301" customFormat="1" s="16"/>
    <row r="302" customFormat="1" s="16"/>
    <row r="303" customFormat="1" s="16"/>
    <row r="304" customFormat="1" s="16"/>
    <row r="305" customFormat="1" s="16"/>
    <row r="306" customFormat="1" s="16"/>
    <row r="307" customFormat="1" s="16"/>
    <row r="308" customFormat="1" s="16"/>
    <row r="309" customFormat="1" s="16"/>
    <row r="310" customFormat="1" s="16"/>
    <row r="311" customFormat="1" s="16"/>
    <row r="312" customFormat="1" s="16"/>
    <row r="313" customFormat="1" s="16"/>
    <row r="314" customFormat="1" s="16"/>
    <row r="315" customFormat="1" s="16"/>
    <row r="316" customFormat="1" s="16"/>
    <row r="317" customFormat="1" s="16"/>
    <row r="318" customFormat="1" s="16"/>
    <row r="319" customFormat="1" s="16"/>
    <row r="320" customFormat="1" s="16"/>
    <row r="321" customFormat="1" s="16"/>
    <row r="322" customFormat="1" s="16"/>
    <row r="323" customFormat="1" s="16"/>
    <row r="324" customFormat="1" s="16"/>
    <row r="325" customFormat="1" s="16"/>
    <row r="326" customFormat="1" s="16"/>
    <row r="327" customFormat="1" s="16"/>
    <row r="328" customFormat="1" s="16"/>
    <row r="329" customFormat="1" s="16"/>
    <row r="330" customFormat="1" s="16"/>
    <row r="331" customFormat="1" s="16"/>
    <row r="332" customFormat="1" s="16"/>
    <row r="333" customFormat="1" s="16"/>
    <row r="334" customFormat="1" s="16"/>
    <row r="335" customFormat="1" s="16"/>
    <row r="336" customFormat="1" s="16"/>
    <row r="337" customFormat="1" s="16"/>
    <row r="338" customFormat="1" s="16"/>
    <row r="339" customFormat="1" s="16"/>
    <row r="340" customFormat="1" s="16"/>
    <row r="341" customFormat="1" s="16"/>
    <row r="342" customFormat="1" s="16"/>
    <row r="343" customFormat="1" s="16"/>
    <row r="344" customFormat="1" s="16"/>
    <row r="345" customFormat="1" s="16"/>
    <row r="346" customFormat="1" s="16"/>
    <row r="347" customFormat="1" s="16"/>
    <row r="348" customFormat="1" s="16"/>
    <row r="349" customFormat="1" s="16"/>
    <row r="350" customFormat="1" s="16"/>
    <row r="351" customFormat="1" s="16"/>
    <row r="352" customFormat="1" s="16"/>
    <row r="353" customFormat="1" s="16"/>
    <row r="354" customFormat="1" s="16"/>
    <row r="355" customFormat="1" s="16"/>
    <row r="356" customFormat="1" s="16"/>
    <row r="357" customFormat="1" s="16"/>
    <row r="358" customFormat="1" s="16"/>
    <row r="359" customFormat="1" s="16"/>
    <row r="360" customFormat="1" s="16"/>
    <row r="361" customFormat="1" s="16"/>
    <row r="362" customFormat="1" s="16"/>
    <row r="363" customFormat="1" s="16"/>
    <row r="364" customFormat="1" s="16"/>
    <row r="365" customFormat="1" s="16"/>
    <row r="366" customFormat="1" s="16"/>
    <row r="367" customFormat="1" s="16"/>
    <row r="368" customFormat="1" s="16"/>
    <row r="369" customFormat="1" s="16"/>
    <row r="370" customFormat="1" s="16"/>
    <row r="371" customFormat="1" s="16"/>
    <row r="372" customFormat="1" s="16"/>
    <row r="373" customFormat="1" s="16"/>
    <row r="374" customFormat="1" s="16"/>
    <row r="375" customFormat="1" s="16"/>
    <row r="376" customFormat="1" s="16"/>
    <row r="377" customFormat="1" s="16"/>
    <row r="378" customFormat="1" s="16"/>
    <row r="379" customFormat="1" s="16"/>
    <row r="380" customFormat="1" s="16"/>
    <row r="381" customFormat="1" s="16"/>
    <row r="382" customFormat="1" s="16"/>
    <row r="383" customFormat="1" s="16"/>
    <row r="384" customFormat="1" s="16"/>
    <row r="385" customFormat="1" s="16"/>
    <row r="386" customFormat="1" s="16"/>
    <row r="387" customFormat="1" s="16"/>
    <row r="388" customFormat="1" s="16"/>
    <row r="389" customFormat="1" s="16"/>
    <row r="390" customFormat="1" s="16"/>
    <row r="391" customFormat="1" s="16"/>
    <row r="392" customFormat="1" s="16"/>
    <row r="393" customFormat="1" s="16"/>
    <row r="394" customFormat="1" s="16"/>
    <row r="395" customFormat="1" s="16"/>
    <row r="396" customFormat="1" s="16"/>
    <row r="397" customFormat="1" s="16"/>
    <row r="398" customFormat="1" s="16"/>
    <row r="399" customFormat="1" s="16"/>
    <row r="400" customFormat="1" s="16"/>
    <row r="401" customFormat="1" s="16"/>
    <row r="402" customFormat="1" s="16"/>
    <row r="403" customFormat="1" s="16"/>
    <row r="404" customFormat="1" s="16"/>
    <row r="405" customFormat="1" s="16"/>
    <row r="406" customFormat="1" s="16"/>
    <row r="407" customFormat="1" s="16"/>
    <row r="408" customFormat="1" s="16"/>
    <row r="409" customFormat="1" s="16"/>
    <row r="410" customFormat="1" s="16"/>
    <row r="411" customFormat="1" s="16"/>
    <row r="412" customFormat="1" s="16"/>
    <row r="413" customFormat="1" s="16"/>
    <row r="414" customFormat="1" s="16"/>
    <row r="415" customFormat="1" s="16"/>
    <row r="416" customFormat="1" s="16"/>
    <row r="417" customFormat="1" s="16"/>
    <row r="418" customFormat="1" s="16"/>
    <row r="419" customFormat="1" s="16"/>
    <row r="420" customFormat="1" s="16"/>
    <row r="421" customFormat="1" s="16"/>
    <row r="422" customFormat="1" s="16"/>
    <row r="423" customFormat="1" s="16"/>
    <row r="424" customFormat="1" s="16"/>
    <row r="425" customFormat="1" s="16"/>
    <row r="426" customFormat="1" s="16"/>
    <row r="427" customFormat="1" s="16"/>
    <row r="428" customFormat="1" s="16"/>
    <row r="429" customFormat="1" s="16"/>
    <row r="430" customFormat="1" s="16"/>
    <row r="431" customFormat="1" s="16"/>
    <row r="432" customFormat="1" s="16"/>
    <row r="433" customFormat="1" s="16"/>
    <row r="434" customFormat="1" s="16"/>
    <row r="435" customFormat="1" s="16"/>
    <row r="436" customFormat="1" s="16"/>
    <row r="437" customFormat="1" s="16"/>
    <row r="438" customFormat="1" s="16"/>
    <row r="439" customFormat="1" s="16"/>
    <row r="440" customFormat="1" s="16"/>
    <row r="441" customFormat="1" s="16"/>
    <row r="442" customFormat="1" s="16"/>
    <row r="443" customFormat="1" s="16"/>
    <row r="444" customFormat="1" s="16"/>
    <row r="445" customFormat="1" s="16"/>
    <row r="446" customFormat="1" s="16"/>
    <row r="447" customFormat="1" s="16"/>
    <row r="448" customFormat="1" s="16"/>
    <row r="449" customFormat="1" s="16"/>
    <row r="450" customFormat="1" s="16"/>
    <row r="451" customFormat="1" s="16"/>
    <row r="452" customFormat="1" s="16"/>
    <row r="453" customFormat="1" s="16"/>
    <row r="454" customFormat="1" s="16"/>
    <row r="455" customFormat="1" s="16"/>
    <row r="456" customFormat="1" s="16"/>
    <row r="457" customFormat="1" s="16"/>
    <row r="458" customFormat="1" s="16"/>
    <row r="459" customFormat="1" s="16"/>
    <row r="460" customFormat="1" s="16"/>
    <row r="461" customFormat="1" s="16"/>
    <row r="462" customFormat="1" s="16"/>
    <row r="463" customFormat="1" s="16"/>
    <row r="464" customFormat="1" s="16"/>
    <row r="465" customFormat="1" s="16"/>
    <row r="466" customFormat="1" s="16"/>
    <row r="467" customFormat="1" s="16"/>
    <row r="468" customFormat="1" s="16"/>
    <row r="469" customFormat="1" s="16"/>
    <row r="470" customFormat="1" s="16"/>
    <row r="471" customFormat="1" s="16"/>
    <row r="472" customFormat="1" s="16"/>
    <row r="473" customFormat="1" s="16"/>
    <row r="474" customFormat="1" s="16"/>
    <row r="475" customFormat="1" s="16"/>
    <row r="476" customFormat="1" s="16"/>
    <row r="477" customFormat="1" s="16"/>
    <row r="478" customFormat="1" s="16"/>
    <row r="479" customFormat="1" s="16"/>
    <row r="480" customFormat="1" s="16"/>
    <row r="481" customFormat="1" s="16"/>
    <row r="482" customFormat="1" s="16"/>
    <row r="483" customFormat="1" s="16"/>
    <row r="484" customFormat="1" s="16"/>
    <row r="485" customFormat="1" s="16"/>
    <row r="486" customFormat="1" s="16"/>
    <row r="487" customFormat="1" s="16"/>
    <row r="488" customFormat="1" s="16"/>
    <row r="489" customFormat="1" s="16"/>
    <row r="490" customFormat="1" s="16"/>
    <row r="491" customFormat="1" s="16"/>
    <row r="492" customFormat="1" s="16"/>
    <row r="493" customFormat="1" s="16"/>
    <row r="494" customFormat="1" s="16"/>
    <row r="495" customFormat="1" s="16"/>
    <row r="496" customFormat="1" s="16"/>
    <row r="497" customFormat="1" s="16"/>
    <row r="498" customFormat="1" s="16"/>
    <row r="499" customFormat="1" s="16"/>
    <row r="500" customFormat="1" s="16"/>
    <row r="501" customFormat="1" s="16"/>
    <row r="502" customFormat="1" s="16"/>
    <row r="503" customFormat="1" s="16"/>
    <row r="504" customFormat="1" s="16"/>
    <row r="505" customFormat="1" s="16"/>
    <row r="506" customFormat="1" s="16"/>
    <row r="507" customFormat="1" s="16"/>
    <row r="508" customFormat="1" s="16"/>
    <row r="509" customFormat="1" s="16"/>
    <row r="510" customFormat="1" s="16"/>
    <row r="511" customFormat="1" s="16"/>
    <row r="512" customFormat="1" s="16"/>
    <row r="513" customFormat="1" s="16"/>
    <row r="514" customFormat="1" s="16"/>
    <row r="515" customFormat="1" s="16"/>
    <row r="516" customFormat="1" s="16"/>
    <row r="517" customFormat="1" s="16"/>
    <row r="518" customFormat="1" s="16"/>
    <row r="519" customFormat="1" s="16"/>
    <row r="520" customFormat="1" s="16"/>
    <row r="521" customFormat="1" s="16"/>
    <row r="522" customFormat="1" s="16"/>
    <row r="523" customFormat="1" s="16"/>
    <row r="524" customFormat="1" s="16"/>
    <row r="525" customFormat="1" s="16"/>
    <row r="526" customFormat="1" s="16"/>
    <row r="527" customFormat="1" s="16"/>
    <row r="528" customFormat="1" s="16"/>
    <row r="529" customFormat="1" s="16"/>
    <row r="530" customFormat="1" s="16"/>
    <row r="531" customFormat="1" s="16"/>
    <row r="532" customFormat="1" s="16"/>
    <row r="533" customFormat="1" s="16"/>
    <row r="534" customFormat="1" s="16"/>
    <row r="535" customFormat="1" s="16"/>
    <row r="536" customFormat="1" s="16"/>
    <row r="537" customFormat="1" s="16"/>
    <row r="538" customFormat="1" s="16"/>
    <row r="539" customFormat="1" s="16"/>
    <row r="540" customFormat="1" s="16"/>
    <row r="541" customFormat="1" s="16"/>
    <row r="542" customFormat="1" s="16"/>
    <row r="543" customFormat="1" s="16"/>
    <row r="544" customFormat="1" s="16"/>
    <row r="545" customFormat="1" s="16"/>
    <row r="546" customFormat="1" s="16"/>
    <row r="547" customFormat="1" s="16"/>
    <row r="548" customFormat="1" s="16"/>
    <row r="549" customFormat="1" s="16"/>
    <row r="550" customFormat="1" s="16"/>
    <row r="551" customFormat="1" s="16"/>
    <row r="552" customFormat="1" s="16"/>
    <row r="553" customFormat="1" s="16"/>
    <row r="554" customFormat="1" s="16"/>
    <row r="555" customFormat="1" s="16"/>
    <row r="556" customFormat="1" s="16"/>
    <row r="557" customFormat="1" s="16"/>
    <row r="558" customFormat="1" s="16"/>
    <row r="559" customFormat="1" s="16"/>
    <row r="560" customFormat="1" s="16"/>
    <row r="561" customFormat="1" s="16"/>
    <row r="562" customFormat="1" s="16"/>
    <row r="563" customFormat="1" s="16"/>
    <row r="564" customFormat="1" s="16"/>
    <row r="565" customFormat="1" s="16"/>
    <row r="566" customFormat="1" s="16"/>
    <row r="567" customFormat="1" s="16"/>
    <row r="568" customFormat="1" s="16"/>
    <row r="569" customFormat="1" s="16"/>
    <row r="570" customFormat="1" s="16"/>
    <row r="571" customFormat="1" s="16"/>
    <row r="572" customFormat="1" s="16"/>
    <row r="573" customFormat="1" s="16"/>
    <row r="574" customFormat="1" s="16"/>
    <row r="575" customFormat="1" s="16"/>
    <row r="576" customFormat="1" s="16"/>
    <row r="577" customFormat="1" s="16"/>
    <row r="578" customFormat="1" s="16"/>
    <row r="579" customFormat="1" s="16"/>
    <row r="580" customFormat="1" s="16"/>
    <row r="581" customFormat="1" s="16"/>
    <row r="582" customFormat="1" s="16"/>
    <row r="583" customFormat="1" s="16"/>
    <row r="584" customFormat="1" s="16"/>
    <row r="585" customFormat="1" s="16"/>
    <row r="586" customFormat="1" s="16"/>
    <row r="587" customFormat="1" s="16"/>
    <row r="588" customFormat="1" s="16"/>
    <row r="589" customFormat="1" s="16"/>
    <row r="590" customFormat="1" s="16"/>
    <row r="591" customFormat="1" s="16"/>
    <row r="592" customFormat="1" s="16"/>
    <row r="593" customFormat="1" s="16"/>
    <row r="594" customFormat="1" s="16"/>
    <row r="595" customFormat="1" s="16"/>
    <row r="596" customFormat="1" s="16"/>
    <row r="597" customFormat="1" s="16"/>
    <row r="598" customFormat="1" s="16"/>
    <row r="599" customFormat="1" s="16"/>
    <row r="600" customFormat="1" s="16"/>
    <row r="601" customFormat="1" s="16"/>
    <row r="602" customFormat="1" s="16"/>
    <row r="603" customFormat="1" s="16"/>
    <row r="604" customFormat="1" s="16"/>
    <row r="605" customFormat="1" s="16"/>
    <row r="606" customFormat="1" s="16"/>
    <row r="607" customFormat="1" s="16"/>
    <row r="608" customFormat="1" s="16"/>
    <row r="609" customFormat="1" s="16"/>
    <row r="610" customFormat="1" s="16"/>
    <row r="611" customFormat="1" s="16"/>
    <row r="612" customFormat="1" s="16"/>
    <row r="613" customFormat="1" s="16"/>
    <row r="614" customFormat="1" s="16"/>
    <row r="615" customFormat="1" s="16"/>
    <row r="616" customFormat="1" s="16"/>
    <row r="617" customFormat="1" s="16"/>
    <row r="618" customFormat="1" s="16"/>
    <row r="619" customFormat="1" s="16"/>
    <row r="620" customFormat="1" s="16"/>
    <row r="621" customFormat="1" s="16"/>
    <row r="622" customFormat="1" s="16"/>
    <row r="623" customFormat="1" s="16"/>
    <row r="624" customFormat="1" s="16"/>
    <row r="625" customFormat="1" s="16"/>
    <row r="626" customFormat="1" s="16"/>
    <row r="627" customFormat="1" s="16"/>
    <row r="628" customFormat="1" s="16"/>
    <row r="629" customFormat="1" s="16"/>
    <row r="630" customFormat="1" s="16"/>
    <row r="631" customFormat="1" s="16"/>
    <row r="632" customFormat="1" s="16"/>
    <row r="633" customFormat="1" s="16"/>
    <row r="634" customFormat="1" s="16"/>
    <row r="635" customFormat="1" s="16"/>
    <row r="636" customFormat="1" s="16"/>
    <row r="637" customFormat="1" s="16"/>
    <row r="638" customFormat="1" s="16"/>
    <row r="639" customFormat="1" s="16"/>
    <row r="640" customFormat="1" s="16"/>
    <row r="641" customFormat="1" s="16"/>
    <row r="642" customFormat="1" s="16"/>
    <row r="643" customFormat="1" s="16"/>
    <row r="644" customFormat="1" s="16"/>
    <row r="645" customFormat="1" s="16"/>
    <row r="646" customFormat="1" s="16"/>
    <row r="647" customFormat="1" s="16"/>
    <row r="648" customFormat="1" s="16"/>
    <row r="649" customFormat="1" s="16"/>
    <row r="650" customFormat="1" s="16"/>
    <row r="651" customFormat="1" s="16"/>
    <row r="652" customFormat="1" s="16"/>
    <row r="653" customFormat="1" s="16"/>
    <row r="654" customFormat="1" s="16"/>
    <row r="655" customFormat="1" s="16"/>
    <row r="656" customFormat="1" s="16"/>
    <row r="657" customFormat="1" s="16"/>
    <row r="658" customFormat="1" s="16"/>
    <row r="659" customFormat="1" s="16"/>
    <row r="660" customFormat="1" s="16"/>
    <row r="661" customFormat="1" s="16"/>
    <row r="662" customFormat="1" s="16"/>
    <row r="663" customFormat="1" s="16"/>
    <row r="664" customFormat="1" s="16"/>
    <row r="665" customFormat="1" s="16"/>
    <row r="666" customFormat="1" s="16"/>
    <row r="667" customFormat="1" s="16"/>
    <row r="668" customFormat="1" s="16"/>
    <row r="669" customFormat="1" s="16"/>
    <row r="670" customFormat="1" s="16"/>
    <row r="671" customFormat="1" s="16"/>
    <row r="672" customFormat="1" s="16"/>
    <row r="673" customFormat="1" s="16"/>
    <row r="674" customFormat="1" s="16"/>
    <row r="675" customFormat="1" s="16"/>
    <row r="676" customFormat="1" s="16"/>
    <row r="677" customFormat="1" s="16"/>
    <row r="678" customFormat="1" s="16"/>
    <row r="679" customFormat="1" s="16"/>
    <row r="680" customFormat="1" s="16"/>
    <row r="681" customFormat="1" s="16"/>
    <row r="682" customFormat="1" s="16"/>
    <row r="683" customFormat="1" s="16"/>
    <row r="684" customFormat="1" s="16"/>
    <row r="685" customFormat="1" s="16"/>
    <row r="686" customFormat="1" s="16"/>
    <row r="687" customFormat="1" s="16"/>
    <row r="688" customFormat="1" s="16"/>
    <row r="689" customFormat="1" s="16"/>
    <row r="690" customFormat="1" s="16"/>
    <row r="691" customFormat="1" s="16"/>
    <row r="692" customFormat="1" s="16"/>
    <row r="693" customFormat="1" s="16"/>
    <row r="694" customFormat="1" s="16"/>
    <row r="695" customFormat="1" s="16"/>
    <row r="696" customFormat="1" s="16"/>
    <row r="697" customFormat="1" s="16"/>
    <row r="698" customFormat="1" s="16"/>
    <row r="699" customFormat="1" s="16"/>
    <row r="700" customFormat="1" s="16"/>
    <row r="701" customFormat="1" s="16"/>
    <row r="702" customFormat="1" s="16"/>
    <row r="703" customFormat="1" s="16"/>
    <row r="704" customFormat="1" s="16"/>
    <row r="705" customFormat="1" s="16"/>
    <row r="706" customFormat="1" s="16"/>
    <row r="707" customFormat="1" s="16"/>
    <row r="708" customFormat="1" s="16"/>
    <row r="709" customFormat="1" s="16"/>
    <row r="710" customFormat="1" s="16"/>
    <row r="711" customFormat="1" s="16"/>
    <row r="712" customFormat="1" s="16"/>
    <row r="713" customFormat="1" s="16"/>
    <row r="714" customFormat="1" s="16"/>
    <row r="715" customFormat="1" s="16"/>
    <row r="716" customFormat="1" s="16"/>
    <row r="717" customFormat="1" s="16"/>
    <row r="718" customFormat="1" s="16"/>
    <row r="719" customFormat="1" s="16"/>
    <row r="720" customFormat="1" s="16"/>
    <row r="721" customFormat="1" s="16"/>
    <row r="722" customFormat="1" s="16"/>
    <row r="723" customFormat="1" s="16"/>
    <row r="724" customFormat="1" s="16"/>
    <row r="725" customFormat="1" s="16"/>
    <row r="726" customFormat="1" s="16"/>
    <row r="727" customFormat="1" s="16"/>
    <row r="728" customFormat="1" s="16"/>
    <row r="729" customFormat="1" s="16"/>
    <row r="730" customFormat="1" s="16"/>
    <row r="731" customFormat="1" s="16"/>
    <row r="732" customFormat="1" s="16"/>
    <row r="733" customFormat="1" s="16"/>
    <row r="734" customFormat="1" s="16"/>
    <row r="735" customFormat="1" s="16"/>
    <row r="736" customFormat="1" s="16"/>
    <row r="737" customFormat="1" s="16"/>
    <row r="738" customFormat="1" s="16"/>
    <row r="739" customFormat="1" s="16"/>
    <row r="740" customFormat="1" s="16"/>
    <row r="741" customFormat="1" s="16"/>
    <row r="742" customFormat="1" s="16"/>
    <row r="743" customFormat="1" s="16"/>
    <row r="744" customFormat="1" s="16"/>
    <row r="745" customFormat="1" s="16"/>
    <row r="746" customFormat="1" s="16"/>
    <row r="747" customFormat="1" s="16"/>
    <row r="748" customFormat="1" s="16"/>
    <row r="749" customFormat="1" s="16"/>
    <row r="750" customFormat="1" s="16"/>
    <row r="751" customFormat="1" s="16"/>
    <row r="752" customFormat="1" s="16"/>
    <row r="753" customFormat="1" s="16"/>
    <row r="754" customFormat="1" s="16"/>
    <row r="755" customFormat="1" s="16"/>
    <row r="756" customFormat="1" s="16"/>
    <row r="757" customFormat="1" s="16"/>
    <row r="758" customFormat="1" s="16"/>
    <row r="759" customFormat="1" s="16"/>
    <row r="760" customFormat="1" s="16"/>
    <row r="761" customFormat="1" s="16"/>
    <row r="762" customFormat="1" s="16"/>
    <row r="763" customFormat="1" s="16"/>
    <row r="764" customFormat="1" s="16"/>
    <row r="765" customFormat="1" s="16"/>
    <row r="766" customFormat="1" s="16"/>
    <row r="767" customFormat="1" s="16"/>
    <row r="768" customFormat="1" s="16"/>
    <row r="769" customFormat="1" s="16"/>
    <row r="770" customFormat="1" s="16"/>
    <row r="771" customFormat="1" s="16"/>
    <row r="772" customFormat="1" s="16"/>
    <row r="773" customFormat="1" s="16"/>
    <row r="774" customFormat="1" s="16"/>
    <row r="775" customFormat="1" s="16"/>
    <row r="776" customFormat="1" s="16"/>
    <row r="777" customFormat="1" s="16"/>
    <row r="778" customFormat="1" s="16"/>
    <row r="779" customFormat="1" s="16"/>
    <row r="780" customFormat="1" s="16"/>
    <row r="781" customFormat="1" s="16"/>
    <row r="782" customFormat="1" s="16"/>
    <row r="783" customFormat="1" s="16"/>
    <row r="784" customFormat="1" s="16"/>
    <row r="785" customFormat="1" s="16"/>
    <row r="786" customFormat="1" s="16"/>
    <row r="787" customFormat="1" s="16"/>
    <row r="788" customFormat="1" s="16"/>
    <row r="789" customFormat="1" s="16"/>
    <row r="790" customFormat="1" s="16"/>
    <row r="791" customFormat="1" s="16"/>
    <row r="792" customFormat="1" s="16"/>
    <row r="793" customFormat="1" s="16"/>
    <row r="794" customFormat="1" s="16"/>
    <row r="795" customFormat="1" s="16"/>
    <row r="796" customFormat="1" s="16"/>
    <row r="797" customFormat="1" s="16"/>
    <row r="798" customFormat="1" s="16"/>
    <row r="799" customFormat="1" s="16"/>
    <row r="800" customFormat="1" s="16"/>
    <row r="801" customFormat="1" s="16"/>
    <row r="802" customFormat="1" s="16"/>
    <row r="803" customFormat="1" s="16"/>
    <row r="804" customFormat="1" s="16"/>
    <row r="805" customFormat="1" s="16"/>
    <row r="806" customFormat="1" s="16"/>
    <row r="807" customFormat="1" s="16"/>
    <row r="808" customFormat="1" s="16"/>
    <row r="809" customFormat="1" s="16"/>
    <row r="810" customFormat="1" s="16"/>
    <row r="811" customFormat="1" s="16"/>
    <row r="812" customFormat="1" s="16"/>
    <row r="813" customFormat="1" s="16"/>
    <row r="814" customFormat="1" s="16"/>
    <row r="815" customFormat="1" s="16"/>
    <row r="816" customFormat="1" s="16"/>
    <row r="817" customFormat="1" s="16"/>
    <row r="818" customFormat="1" s="16"/>
    <row r="819" customFormat="1" s="16"/>
    <row r="820" customFormat="1" s="16"/>
    <row r="821" customFormat="1" s="16"/>
    <row r="822" customFormat="1" s="16"/>
    <row r="823" customFormat="1" s="16"/>
    <row r="824" customFormat="1" s="16"/>
    <row r="825" customFormat="1" s="16"/>
    <row r="826" customFormat="1" s="16"/>
    <row r="827" customFormat="1" s="16"/>
    <row r="828" customFormat="1" s="16"/>
    <row r="829" customFormat="1" s="16"/>
    <row r="830" customFormat="1" s="16"/>
    <row r="831" customFormat="1" s="16"/>
    <row r="832" customFormat="1" s="16"/>
    <row r="833" customFormat="1" s="16"/>
    <row r="834" customFormat="1" s="16"/>
    <row r="835" customFormat="1" s="16"/>
    <row r="836" customFormat="1" s="16"/>
    <row r="837" customFormat="1" s="16"/>
    <row r="838" customFormat="1" s="16"/>
    <row r="839" customFormat="1" s="16"/>
    <row r="840" customFormat="1" s="16"/>
    <row r="841" customFormat="1" s="16"/>
    <row r="842" customFormat="1" s="16"/>
    <row r="843" customFormat="1" s="16"/>
    <row r="844" customFormat="1" s="16"/>
    <row r="845" customFormat="1" s="16"/>
    <row r="846" customFormat="1" s="16"/>
    <row r="847" customFormat="1" s="16"/>
    <row r="848" customFormat="1" s="16"/>
    <row r="849" customFormat="1" s="16"/>
    <row r="850" customFormat="1" s="16"/>
    <row r="851" customFormat="1" s="16"/>
    <row r="852" customFormat="1" s="16"/>
    <row r="853" customFormat="1" s="16"/>
    <row r="854" customFormat="1" s="16"/>
    <row r="855" customFormat="1" s="16"/>
    <row r="856" customFormat="1" s="16"/>
    <row r="857" customFormat="1" s="16"/>
    <row r="858" customFormat="1" s="16"/>
    <row r="859" customFormat="1" s="16"/>
    <row r="860" customFormat="1" s="16"/>
    <row r="861" customFormat="1" s="16"/>
    <row r="862" customFormat="1" s="16"/>
    <row r="863" customFormat="1" s="16"/>
    <row r="864" customFormat="1" s="16"/>
    <row r="865" customFormat="1" s="16"/>
    <row r="866" customFormat="1" s="16"/>
    <row r="867" customFormat="1" s="16"/>
    <row r="868" customFormat="1" s="16"/>
    <row r="869" customFormat="1" s="16"/>
    <row r="870" customFormat="1" s="16"/>
    <row r="871" customFormat="1" s="16"/>
    <row r="872" customFormat="1" s="16"/>
    <row r="873" customFormat="1" s="16"/>
    <row r="874" customFormat="1" s="16"/>
    <row r="875" customFormat="1" s="16"/>
    <row r="876" customFormat="1" s="16"/>
    <row r="877" customFormat="1" s="16"/>
    <row r="878" customFormat="1" s="16"/>
    <row r="879" customFormat="1" s="16"/>
    <row r="880" customFormat="1" s="16"/>
    <row r="881" customFormat="1" s="16"/>
    <row r="882" customFormat="1" s="16"/>
    <row r="883" customFormat="1" s="16"/>
    <row r="884" customFormat="1" s="16"/>
    <row r="885" customFormat="1" s="16"/>
    <row r="886" customFormat="1" s="16"/>
    <row r="887" customFormat="1" s="16"/>
    <row r="888" customFormat="1" s="16"/>
    <row r="889" customFormat="1" s="16"/>
    <row r="890" customFormat="1" s="16"/>
    <row r="891" customFormat="1" s="16"/>
    <row r="892" customFormat="1" s="16"/>
    <row r="893" customFormat="1" s="16"/>
    <row r="894" customFormat="1" s="16"/>
    <row r="895" customFormat="1" s="16"/>
    <row r="896" customFormat="1" s="16"/>
    <row r="897" customFormat="1" s="16"/>
    <row r="898" customFormat="1" s="16"/>
    <row r="899" customFormat="1" s="16"/>
    <row r="900" customFormat="1" s="16"/>
    <row r="901" customFormat="1" s="16"/>
    <row r="902" customFormat="1" s="16"/>
    <row r="903" customFormat="1" s="16"/>
    <row r="904" customFormat="1" s="16"/>
    <row r="905" customFormat="1" s="16"/>
    <row r="906" customFormat="1" s="16"/>
    <row r="907" customFormat="1" s="16"/>
    <row r="908" customFormat="1" s="16"/>
    <row r="909" customFormat="1" s="16"/>
    <row r="910" customFormat="1" s="16"/>
    <row r="911" customFormat="1" s="16"/>
    <row r="912" customFormat="1" s="16"/>
    <row r="913" customFormat="1" s="16"/>
    <row r="914" customFormat="1" s="16"/>
    <row r="915" customFormat="1" s="16"/>
    <row r="916" customFormat="1" s="16"/>
    <row r="917" customFormat="1" s="16"/>
    <row r="918" customFormat="1" s="16"/>
    <row r="919" customFormat="1" s="16"/>
    <row r="920" customFormat="1" s="16"/>
    <row r="921" customFormat="1" s="16"/>
    <row r="922" customFormat="1" s="16"/>
    <row r="923" customFormat="1" s="16"/>
    <row r="924" customFormat="1" s="16"/>
    <row r="925" customFormat="1" s="16"/>
    <row r="926" customFormat="1" s="16"/>
    <row r="927" customFormat="1" s="16"/>
    <row r="928" customFormat="1" s="16"/>
    <row r="929" customFormat="1" s="16"/>
    <row r="930" customFormat="1" s="16"/>
    <row r="931" customFormat="1" s="16"/>
    <row r="932" customFormat="1" s="16"/>
    <row r="933" customFormat="1" s="16"/>
    <row r="934" customFormat="1" s="16"/>
    <row r="935" customFormat="1" s="16"/>
    <row r="936" customFormat="1" s="16"/>
    <row r="937" customFormat="1" s="16"/>
    <row r="938" customFormat="1" s="16"/>
    <row r="939" customFormat="1" s="16"/>
    <row r="940" customFormat="1" s="16"/>
    <row r="941" customFormat="1" s="16"/>
    <row r="942" customFormat="1" s="16"/>
    <row r="943" customFormat="1" s="16"/>
    <row r="944" customFormat="1" s="16"/>
    <row r="945" customFormat="1" s="16"/>
    <row r="946" customFormat="1" s="16"/>
    <row r="947" customFormat="1" s="16"/>
    <row r="948" customFormat="1" s="16"/>
    <row r="949" customFormat="1" s="16"/>
    <row r="950" customFormat="1" s="16"/>
    <row r="951" customFormat="1" s="16"/>
    <row r="952" customFormat="1" s="16"/>
    <row r="953" customFormat="1" s="16"/>
    <row r="954" customFormat="1" s="16"/>
    <row r="955" customFormat="1" s="16"/>
    <row r="956" customFormat="1" s="16"/>
    <row r="957" customFormat="1" s="16"/>
    <row r="958" customFormat="1" s="16"/>
    <row r="959" customFormat="1" s="16"/>
    <row r="960" customFormat="1" s="16"/>
    <row r="961" customFormat="1" s="16"/>
    <row r="962" customFormat="1" s="16"/>
    <row r="963" customFormat="1" s="16"/>
    <row r="964" customFormat="1" s="16"/>
    <row r="965" customFormat="1" s="16"/>
    <row r="966" customFormat="1" s="16"/>
    <row r="967" customFormat="1" s="16"/>
    <row r="968" customFormat="1" s="16"/>
    <row r="969" customFormat="1" s="16"/>
    <row r="970" customFormat="1" s="16"/>
    <row r="971" customFormat="1" s="16"/>
    <row r="972" customFormat="1" s="16"/>
    <row r="973" customFormat="1" s="16"/>
    <row r="974" customFormat="1" s="16"/>
    <row r="975" customFormat="1" s="16"/>
    <row r="976" customFormat="1" s="16"/>
    <row r="977" customFormat="1" s="16"/>
    <row r="978" customFormat="1" s="16"/>
    <row r="979" customFormat="1" s="16"/>
    <row r="980" customFormat="1" s="16"/>
    <row r="981" customFormat="1" s="16"/>
    <row r="982" customFormat="1" s="16"/>
    <row r="983" customFormat="1" s="16"/>
    <row r="984" customFormat="1" s="16"/>
    <row r="985" customFormat="1" s="16"/>
    <row r="986" customFormat="1" s="16"/>
    <row r="987" customFormat="1" s="16"/>
    <row r="988" customFormat="1" s="16"/>
    <row r="989" customFormat="1" s="16"/>
    <row r="990" customFormat="1" s="16"/>
    <row r="991" customFormat="1" s="16"/>
    <row r="992" customFormat="1" s="16"/>
    <row r="993" customFormat="1" s="16"/>
    <row r="994" customFormat="1" s="16"/>
    <row r="995" customFormat="1" s="16"/>
    <row r="996" customFormat="1" s="16"/>
    <row r="997" customFormat="1" s="16"/>
    <row r="998" customFormat="1" s="16"/>
    <row r="999" customFormat="1" s="16"/>
    <row r="1000" customFormat="1" s="16"/>
    <row r="1001" customFormat="1" s="16"/>
    <row r="1002" customFormat="1" s="16"/>
    <row r="1003" customFormat="1" s="16"/>
    <row r="1004" customFormat="1" s="16"/>
    <row r="1005" customFormat="1" s="16"/>
    <row r="1006" customFormat="1" s="16"/>
    <row r="1007" customFormat="1" s="16"/>
    <row r="1008" customFormat="1" s="16"/>
    <row r="1009" customFormat="1" s="16"/>
    <row r="1010" customFormat="1" s="16"/>
    <row r="1011" customFormat="1" s="16"/>
    <row r="1012" customFormat="1" s="16"/>
    <row r="1013" customFormat="1" s="16"/>
    <row r="1014" customFormat="1" s="16"/>
    <row r="1015" customFormat="1" s="16"/>
    <row r="1016" customFormat="1" s="16"/>
    <row r="1017" customFormat="1" s="16"/>
    <row r="1018" customFormat="1" s="16"/>
    <row r="1019" customFormat="1" s="16"/>
    <row r="1020" customFormat="1" s="16"/>
    <row r="1021" customFormat="1" s="16"/>
    <row r="1022" customFormat="1" s="16"/>
    <row r="1023" customFormat="1" s="16"/>
    <row r="1024" customFormat="1" s="16"/>
    <row r="1025" customFormat="1" s="16"/>
    <row r="1026" customFormat="1" s="16"/>
    <row r="1027" customFormat="1" s="16"/>
    <row r="1028" customFormat="1" s="16"/>
    <row r="1029" customFormat="1" s="16"/>
    <row r="1030" customFormat="1" s="16"/>
    <row r="1031" customFormat="1" s="16"/>
    <row r="1032" customFormat="1" s="16"/>
    <row r="1033" customFormat="1" s="16"/>
    <row r="1034" customFormat="1" s="16"/>
    <row r="1035" customFormat="1" s="16"/>
    <row r="1036" customFormat="1" s="16"/>
    <row r="1037" customFormat="1" s="16"/>
    <row r="1038" customFormat="1" s="16"/>
    <row r="1039" customFormat="1" s="16"/>
    <row r="1040" customFormat="1" s="16"/>
    <row r="1041" customFormat="1" s="16"/>
    <row r="1042" customFormat="1" s="16"/>
    <row r="1043" customFormat="1" s="16"/>
    <row r="1044" customFormat="1" s="16"/>
    <row r="1045" customFormat="1" s="16"/>
  </sheetData>
  <autoFilter ref="A1:M26"/>
  <mergeCells count="23">
    <mergeCell ref="H57:H61"/>
    <mergeCell ref="H22:H26"/>
    <mergeCell ref="H7:H11"/>
    <mergeCell ref="H47:H51"/>
    <mergeCell ref="H32:H36"/>
    <mergeCell ref="H77:H81"/>
    <mergeCell ref="H62:H66"/>
    <mergeCell ref="H37:H41"/>
    <mergeCell ref="H12:H16"/>
    <mergeCell ref="H87:H91"/>
    <mergeCell ref="H27:H31"/>
    <mergeCell ref="H42:H46"/>
    <mergeCell ref="H107:H111"/>
    <mergeCell ref="H92:H96"/>
    <mergeCell ref="H97:H101"/>
    <mergeCell ref="H82:H86"/>
    <mergeCell ref="H67:H71"/>
    <mergeCell ref="H112:H116"/>
    <mergeCell ref="H102:H106"/>
    <mergeCell ref="H52:H56"/>
    <mergeCell ref="H17:H21"/>
    <mergeCell ref="H2:H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5">
      <formula>"PASS"</formula>
    </cfRule>
  </conditionalFormatting>
  <conditionalFormatting sqref="H22 H27">
    <cfRule type="cellIs" priority="78" operator="equal" dxfId="65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5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5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5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5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5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5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5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5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5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5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5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:XFD1"/>
    </sheetView>
  </sheetViews>
  <sheetFormatPr baseColWidth="8" defaultColWidth="9" defaultRowHeight="15.5"/>
  <cols>
    <col width="11.33203125" bestFit="1" customWidth="1" style="19" min="1" max="1"/>
    <col width="43.25" customWidth="1" style="19" min="2" max="2"/>
    <col width="7.5" customWidth="1" style="19" min="3" max="3"/>
    <col width="71" customWidth="1" style="19" min="4" max="4"/>
    <col width="6.5" bestFit="1" customWidth="1" style="19" min="5" max="5"/>
    <col width="61.33203125" customWidth="1" style="19" min="6" max="6"/>
    <col width="10.25" bestFit="1" customWidth="1" style="19" min="7" max="7"/>
    <col width="3.58203125" bestFit="1" customWidth="1" style="19" min="8" max="8"/>
    <col width="7.5" bestFit="1" customWidth="1" style="19" min="9" max="9"/>
    <col width="9" customWidth="1" style="19" min="10" max="16384"/>
  </cols>
  <sheetData>
    <row r="1" ht="35.25" customFormat="1" customHeight="1" s="82">
      <c r="A1" s="82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2026-09-02T20:01:07Z</dcterms:modified>
  <cp:lastModifiedBy>Sureka Thalakotuna</cp:lastModifiedBy>
</cp:coreProperties>
</file>